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ivyaadvani/Downloads/"/>
    </mc:Choice>
  </mc:AlternateContent>
  <xr:revisionPtr revIDLastSave="0" documentId="8_{A227FDDA-6390-2C42-AE5C-4250694E75C6}" xr6:coauthVersionLast="47" xr6:coauthVersionMax="47" xr10:uidLastSave="{00000000-0000-0000-0000-000000000000}"/>
  <bookViews>
    <workbookView xWindow="0" yWindow="580" windowWidth="25600" windowHeight="16060" activeTab="1" xr2:uid="{00000000-000D-0000-FFFF-FFFF00000000}"/>
  </bookViews>
  <sheets>
    <sheet name="Cleaned_Data" sheetId="2" r:id="rId1"/>
    <sheet name="Dashboard" sheetId="3" r:id="rId2"/>
  </sheets>
  <calcPr calcId="0"/>
  <pivotCaches>
    <pivotCache cacheId="30" r:id="rId3"/>
  </pivotCaches>
</workbook>
</file>

<file path=xl/sharedStrings.xml><?xml version="1.0" encoding="utf-8"?>
<sst xmlns="http://schemas.openxmlformats.org/spreadsheetml/2006/main" count="88" uniqueCount="18">
  <si>
    <t>ACTUAL</t>
  </si>
  <si>
    <t>City Tax Levy</t>
  </si>
  <si>
    <t>Tuition</t>
  </si>
  <si>
    <t>State, Federal, Other Funds</t>
  </si>
  <si>
    <t>State and Federal Funds</t>
  </si>
  <si>
    <t>Fiscal Year</t>
  </si>
  <si>
    <t>Actual/Forecast</t>
  </si>
  <si>
    <t>Source</t>
  </si>
  <si>
    <t>Amount</t>
  </si>
  <si>
    <t>CUNY Expenditure Analysis Dashboard</t>
  </si>
  <si>
    <t>Decision-support view of community college spending trends by fiscal year and funding source</t>
  </si>
  <si>
    <t>Amounts shown in $ millions ($mm)</t>
  </si>
  <si>
    <t>PivotTable 1: Total Expenditure by Fiscal Year</t>
  </si>
  <si>
    <t>PivotTable 2: Expenditure by Funding Source</t>
  </si>
  <si>
    <t>Row Labels</t>
  </si>
  <si>
    <t>Grand Total</t>
  </si>
  <si>
    <t>Sum of Amount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</si>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</sst>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6" formatCode="[$$-409]#,##0.0"/>
  </numFmts>
  <fonts count="8" x14ac:knownFonts="1">
    <font>
      <sz val="10"/>
      <color indexed="8"/>
      <name val="Helvetica Neue"/>
    </font>
    <font>
      <b/>
      <sz val="10"/>
      <color rgb="FFFFFFFF"/>
      <name val="Helvetica Neue"/>
      <family val="2"/>
    </font>
    <font>
      <sz val="10"/>
      <color rgb="FF000000"/>
      <name val="Helvetica Neue"/>
      <family val="2"/>
    </font>
    <font>
      <b/>
      <sz val="18"/>
      <color rgb="FFFFFFFF"/>
      <name val="Calibri"/>
      <family val="2"/>
    </font>
    <font>
      <i/>
      <sz val="10"/>
      <color rgb="FF666666"/>
      <name val="Calibri"/>
      <family val="2"/>
    </font>
    <font>
      <sz val="10"/>
      <color rgb="FF000000"/>
      <name val="Calibri"/>
      <family val="2"/>
    </font>
    <font>
      <b/>
      <sz val="10"/>
      <color rgb="FF1D2330"/>
      <name val="Calibri"/>
      <family val="2"/>
    </font>
    <font>
      <b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1D233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2F5F7"/>
        <bgColor indexed="64"/>
      </patternFill>
    </fill>
  </fills>
  <borders count="1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/>
      <top/>
      <bottom style="thick">
        <color rgb="FF1D2330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D9E2EC"/>
      </top>
      <bottom style="thin">
        <color rgb="FF999999"/>
      </bottom>
      <diagonal/>
    </border>
    <border>
      <left style="thin">
        <color rgb="FF999999"/>
      </left>
      <right/>
      <top style="thin">
        <color rgb="FFD9E2EC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1D2330"/>
      </top>
      <bottom style="thin">
        <color rgb="FF999999"/>
      </bottom>
      <diagonal/>
    </border>
    <border>
      <left style="thin">
        <color rgb="FF999999"/>
      </left>
      <right/>
      <top style="double">
        <color rgb="FF1D2330"/>
      </top>
      <bottom style="thin">
        <color rgb="FF999999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8">
    <xf numFmtId="0" fontId="0" fillId="0" borderId="0" xfId="0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1" fontId="2" fillId="0" borderId="0" xfId="0" applyNumberFormat="1" applyFont="1" applyAlignment="1">
      <alignment horizontal="left" vertical="top" wrapText="1"/>
    </xf>
    <xf numFmtId="164" fontId="2" fillId="0" borderId="0" xfId="0" applyNumberFormat="1" applyFont="1" applyAlignment="1">
      <alignment horizontal="right" vertical="top" wrapText="1"/>
    </xf>
    <xf numFmtId="1" fontId="0" fillId="0" borderId="4" xfId="0" applyNumberFormat="1" applyBorder="1" applyAlignment="1">
      <alignment horizontal="left" vertical="top" wrapText="1"/>
    </xf>
    <xf numFmtId="1" fontId="0" fillId="0" borderId="7" xfId="0" applyNumberForma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4" fillId="4" borderId="0" xfId="0" applyNumberFormat="1" applyFont="1" applyFill="1" applyAlignment="1">
      <alignment horizontal="left" vertical="top" wrapText="1"/>
    </xf>
    <xf numFmtId="166" fontId="5" fillId="4" borderId="5" xfId="0" applyNumberFormat="1" applyFont="1" applyFill="1" applyBorder="1" applyAlignment="1">
      <alignment horizontal="right" vertical="top" wrapText="1"/>
    </xf>
    <xf numFmtId="166" fontId="5" fillId="4" borderId="6" xfId="0" applyNumberFormat="1" applyFont="1" applyFill="1" applyBorder="1" applyAlignment="1">
      <alignment horizontal="right" vertical="top" wrapText="1"/>
    </xf>
    <xf numFmtId="166" fontId="5" fillId="4" borderId="4" xfId="0" applyNumberFormat="1" applyFont="1" applyFill="1" applyBorder="1" applyAlignment="1">
      <alignment horizontal="right" vertical="top" wrapText="1"/>
    </xf>
    <xf numFmtId="166" fontId="5" fillId="4" borderId="8" xfId="0" applyNumberFormat="1" applyFont="1" applyFill="1" applyBorder="1" applyAlignment="1">
      <alignment horizontal="right" vertical="top" wrapText="1"/>
    </xf>
    <xf numFmtId="166" fontId="5" fillId="4" borderId="7" xfId="0" applyNumberFormat="1" applyFont="1" applyFill="1" applyBorder="1" applyAlignment="1">
      <alignment horizontal="right" vertical="top" wrapText="1"/>
    </xf>
    <xf numFmtId="166" fontId="5" fillId="4" borderId="9" xfId="0" applyNumberFormat="1" applyFont="1" applyFill="1" applyBorder="1" applyAlignment="1">
      <alignment horizontal="right" vertical="top" wrapText="1"/>
    </xf>
    <xf numFmtId="0" fontId="3" fillId="3" borderId="10" xfId="0" applyNumberFormat="1" applyFont="1" applyFill="1" applyBorder="1" applyAlignment="1">
      <alignment horizontal="left" vertical="center" wrapText="1"/>
    </xf>
    <xf numFmtId="166" fontId="0" fillId="0" borderId="5" xfId="0" applyNumberFormat="1" applyBorder="1">
      <alignment vertical="top" wrapText="1"/>
    </xf>
    <xf numFmtId="166" fontId="0" fillId="0" borderId="6" xfId="0" applyNumberFormat="1" applyBorder="1">
      <alignment vertical="top" wrapText="1"/>
    </xf>
    <xf numFmtId="0" fontId="4" fillId="4" borderId="0" xfId="0" applyNumberFormat="1" applyFont="1" applyFill="1" applyBorder="1" applyAlignment="1">
      <alignment horizontal="left" vertical="top" wrapText="1"/>
    </xf>
    <xf numFmtId="0" fontId="6" fillId="5" borderId="0" xfId="0" applyNumberFormat="1" applyFont="1" applyFill="1" applyBorder="1" applyAlignment="1">
      <alignment horizontal="left" vertical="center" wrapText="1"/>
    </xf>
    <xf numFmtId="1" fontId="0" fillId="0" borderId="11" xfId="0" applyNumberFormat="1" applyBorder="1" applyAlignment="1">
      <alignment horizontal="left" vertical="top" wrapText="1"/>
    </xf>
    <xf numFmtId="166" fontId="5" fillId="4" borderId="12" xfId="0" applyNumberFormat="1" applyFont="1" applyFill="1" applyBorder="1" applyAlignment="1">
      <alignment horizontal="right" vertical="top" wrapText="1"/>
    </xf>
    <xf numFmtId="0" fontId="6" fillId="6" borderId="14" xfId="0" applyNumberFormat="1" applyFont="1" applyFill="1" applyBorder="1" applyAlignment="1">
      <alignment horizontal="left" vertical="top" wrapText="1"/>
    </xf>
    <xf numFmtId="0" fontId="6" fillId="6" borderId="13" xfId="0" applyNumberFormat="1" applyFont="1" applyFill="1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6" fillId="6" borderId="1" xfId="0" applyNumberFormat="1" applyFont="1" applyFill="1" applyBorder="1" applyAlignment="1">
      <alignment horizontal="left" vertical="top" wrapText="1"/>
    </xf>
    <xf numFmtId="0" fontId="6" fillId="6" borderId="2" xfId="0" applyNumberFormat="1" applyFont="1" applyFill="1" applyBorder="1" applyAlignment="1">
      <alignment horizontal="left" vertical="top" wrapText="1"/>
    </xf>
    <xf numFmtId="0" fontId="6" fillId="6" borderId="3" xfId="0" applyNumberFormat="1" applyFont="1" applyFill="1" applyBorder="1" applyAlignment="1">
      <alignment horizontal="left" vertical="top" wrapText="1"/>
    </xf>
    <xf numFmtId="0" fontId="6" fillId="5" borderId="0" xfId="0" applyNumberFormat="1" applyFont="1" applyFill="1" applyBorder="1" applyAlignment="1">
      <alignment horizontal="left" vertical="top" wrapText="1"/>
    </xf>
    <xf numFmtId="166" fontId="5" fillId="4" borderId="11" xfId="0" applyNumberFormat="1" applyFont="1" applyFill="1" applyBorder="1" applyAlignment="1">
      <alignment horizontal="right" vertical="top" wrapText="1"/>
    </xf>
    <xf numFmtId="166" fontId="5" fillId="4" borderId="0" xfId="0" applyNumberFormat="1" applyFont="1" applyFill="1" applyBorder="1" applyAlignment="1">
      <alignment horizontal="right" vertical="top" wrapText="1"/>
    </xf>
    <xf numFmtId="166" fontId="0" fillId="0" borderId="12" xfId="0" applyNumberFormat="1" applyBorder="1">
      <alignment vertical="top" wrapText="1"/>
    </xf>
    <xf numFmtId="0" fontId="6" fillId="6" borderId="7" xfId="0" applyNumberFormat="1" applyFont="1" applyFill="1" applyBorder="1" applyAlignment="1">
      <alignment horizontal="left" vertical="top" wrapText="1"/>
    </xf>
    <xf numFmtId="0" fontId="6" fillId="6" borderId="9" xfId="0" applyNumberFormat="1" applyFont="1" applyFill="1" applyBorder="1" applyAlignment="1">
      <alignment horizontal="left" vertical="top" wrapText="1"/>
    </xf>
    <xf numFmtId="0" fontId="6" fillId="6" borderId="6" xfId="0" applyNumberFormat="1" applyFont="1" applyFill="1" applyBorder="1" applyAlignment="1">
      <alignment horizontal="left" vertical="top" wrapText="1"/>
    </xf>
    <xf numFmtId="0" fontId="7" fillId="7" borderId="16" xfId="0" applyNumberFormat="1" applyFont="1" applyFill="1" applyBorder="1" applyAlignment="1">
      <alignment horizontal="right" vertical="top" wrapText="1"/>
    </xf>
    <xf numFmtId="0" fontId="7" fillId="7" borderId="15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420">
    <dxf>
      <border diagonalUp="0" diagonalDown="0" outline="0">
        <left style="thin">
          <color rgb="FF999999"/>
        </left>
        <right style="thin">
          <color rgb="FF999999"/>
        </right>
        <top style="double">
          <color rgb="FF1D2330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double">
          <color rgb="FF1D2330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double">
          <color rgb="FF1D2330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double">
          <color rgb="FF1D2330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1D2330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1D2330"/>
        </top>
        <bottom style="thin">
          <color rgb="FF999999"/>
        </bottom>
      </border>
    </dxf>
    <dxf>
      <numFmt numFmtId="0" formatCode="General"/>
    </dxf>
    <dxf>
      <numFmt numFmtId="0" formatCode="General"/>
    </dxf>
    <dxf>
      <alignment horizontal="right"/>
    </dxf>
    <dxf>
      <alignment horizontal="right"/>
    </dxf>
    <dxf>
      <fill>
        <patternFill patternType="solid">
          <fgColor indexed="64"/>
          <bgColor rgb="FFF2F5F7"/>
        </patternFill>
      </fill>
    </dxf>
    <dxf>
      <fill>
        <patternFill patternType="solid">
          <fgColor indexed="64"/>
          <bgColor rgb="FFF2F5F7"/>
        </patternFill>
      </fill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color rgb="FF000000"/>
      </font>
    </dxf>
    <dxf>
      <font>
        <color rgb="FF000000"/>
      </font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999999"/>
        </top>
        <bottom style="thin">
          <color rgb="FFD9E2E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999999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border diagonalUp="0" diagonalDown="0" outline="0">
        <left style="thin">
          <color rgb="FF999999"/>
        </left>
        <right style="thin">
          <color rgb="FF999999"/>
        </right>
        <top style="thin">
          <color rgb="FFD9E2EC"/>
        </top>
        <bottom style="thin">
          <color rgb="FFD9E2EC"/>
        </bottom>
      </border>
    </dxf>
    <dxf>
      <numFmt numFmtId="0" formatCode="General"/>
    </dxf>
    <dxf>
      <numFmt numFmtId="0" formatCode="General"/>
    </dxf>
    <dxf>
      <numFmt numFmtId="0" formatCode="General"/>
    </dxf>
    <dxf>
      <alignment horizontal="left"/>
    </dxf>
    <dxf>
      <alignment horizontal="left"/>
    </dxf>
    <dxf>
      <alignment horizontal="left"/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ill>
        <patternFill patternType="solid">
          <fgColor indexed="64"/>
          <bgColor rgb="FFF6F8FA"/>
        </patternFill>
      </fill>
    </dxf>
    <dxf>
      <font>
        <strike val="0"/>
      </font>
    </dxf>
    <dxf>
      <font>
        <strike val="0"/>
      </font>
    </dxf>
    <dxf>
      <font>
        <strike val="0"/>
      </font>
    </dxf>
    <dxf>
      <font>
        <u val="none"/>
      </font>
    </dxf>
    <dxf>
      <font>
        <u val="none"/>
      </font>
    </dxf>
    <dxf>
      <font>
        <u val="none"/>
      </font>
    </dxf>
    <dxf>
      <font>
        <i val="0"/>
      </font>
    </dxf>
    <dxf>
      <font>
        <i val="0"/>
      </font>
    </dxf>
    <dxf>
      <font>
        <i val="0"/>
      </font>
    </dxf>
    <dxf>
      <font>
        <b/>
      </font>
    </dxf>
    <dxf>
      <font>
        <b/>
      </font>
    </dxf>
    <dxf>
      <font>
        <b/>
      </font>
    </dxf>
    <dxf>
      <font>
        <name val="Calibri"/>
      </font>
    </dxf>
    <dxf>
      <font>
        <name val="Calibri"/>
      </font>
    </dxf>
    <dxf>
      <font>
        <name val="Calibri"/>
      </font>
    </dxf>
    <dxf>
      <font>
        <sz val="10"/>
      </font>
    </dxf>
    <dxf>
      <font>
        <sz val="10"/>
      </font>
    </dxf>
    <dxf>
      <font>
        <sz val="10"/>
      </font>
    </dxf>
    <dxf>
      <font>
        <color rgb="FF1D2330"/>
      </font>
    </dxf>
    <dxf>
      <font>
        <color rgb="FF1D2330"/>
      </font>
    </dxf>
    <dxf>
      <font>
        <color rgb="FF1D2330"/>
      </font>
    </dxf>
    <dxf>
      <numFmt numFmtId="166" formatCode="[$$-409]#,##0.0"/>
    </dxf>
    <dxf>
      <numFmt numFmtId="166" formatCode="[$$-409]#,##0.0"/>
    </dxf>
    <dxf>
      <numFmt numFmtId="166" formatCode="[$$-409]#,##0.0"/>
    </dxf>
    <dxf>
      <font>
        <color rgb="FF000000"/>
      </font>
    </dxf>
    <dxf>
      <font>
        <sz val="10"/>
      </font>
    </dxf>
    <dxf>
      <font>
        <name val="Calibri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font>
        <color rgb="FF000000"/>
      </font>
    </dxf>
    <dxf>
      <font>
        <sz val="10"/>
      </font>
    </dxf>
    <dxf>
      <font>
        <name val="Calibri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6" formatCode="[$$-409]#,##0.0"/>
    </dxf>
    <dxf>
      <font>
        <color rgb="FF000000"/>
      </font>
    </dxf>
    <dxf>
      <font>
        <sz val="10"/>
      </font>
    </dxf>
    <dxf>
      <font>
        <name val="Calibri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font>
        <color rgb="FF000000"/>
      </font>
    </dxf>
    <dxf>
      <font>
        <sz val="10"/>
      </font>
    </dxf>
    <dxf>
      <font>
        <name val="Calibri"/>
      </font>
    </dxf>
    <dxf>
      <font>
        <b val="0"/>
      </font>
    </dxf>
    <dxf>
      <font>
        <i val="0"/>
      </font>
    </dxf>
    <dxf>
      <font>
        <u val="none"/>
      </font>
    </dxf>
    <dxf>
      <font>
        <strike val="0"/>
      </font>
    </dxf>
    <dxf>
      <fill>
        <patternFill patternType="solid">
          <fgColor indexed="64"/>
          <bgColor rgb="FFFFFFFF"/>
        </patternFill>
      </fill>
    </dxf>
    <dxf>
      <alignment horizontal="right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numFmt numFmtId="165" formatCode="&quot;£&quot;#,##0.0"/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alignment horizontal="right"/>
    </dxf>
    <dxf>
      <fill>
        <patternFill patternType="solid">
          <fgColor indexed="64"/>
          <bgColor rgb="FFFFFFFF"/>
        </patternFill>
      </fill>
    </dxf>
    <dxf>
      <font>
        <strike val="0"/>
      </font>
    </dxf>
    <dxf>
      <font>
        <u val="none"/>
      </font>
    </dxf>
    <dxf>
      <font>
        <i val="0"/>
      </font>
    </dxf>
    <dxf>
      <font>
        <b val="0"/>
      </font>
    </dxf>
    <dxf>
      <font>
        <name val="Calibri"/>
      </font>
    </dxf>
    <dxf>
      <font>
        <sz val="10"/>
      </font>
    </dxf>
    <dxf>
      <font>
        <color rgb="FF0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64" formatCode="#,##0.0"/>
      <alignment horizontal="righ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Helvetica Neue"/>
        <family val="2"/>
        <scheme val="none"/>
      </font>
      <numFmt numFmtId="1" formatCode="0"/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Helvetica Neue"/>
        <family val="2"/>
        <scheme val="none"/>
      </font>
      <fill>
        <patternFill patternType="solid">
          <fgColor indexed="64"/>
          <bgColor rgb="FF1F4E78"/>
        </patternFill>
      </fill>
      <alignment horizontal="center" vertical="top" textRotation="0" wrapText="1" indent="0" justifyLastLine="0" shrinkToFit="0" readingOrder="0"/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[cuny_expenditure_dashboard.xlsx]Dashboard!pt_TotalFY_500670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Expenditure by Fiscal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Dashboard!$A$6:$A$16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Dashboard!$B$6:$B$16</c:f>
              <c:numCache>
                <c:formatCode>[$$-409]#,##0.0</c:formatCode>
                <c:ptCount val="10"/>
                <c:pt idx="0">
                  <c:v>983.09999999999991</c:v>
                </c:pt>
                <c:pt idx="1">
                  <c:v>1077.9000000000001</c:v>
                </c:pt>
                <c:pt idx="2">
                  <c:v>1100.3</c:v>
                </c:pt>
                <c:pt idx="3">
                  <c:v>1128.4000000000001</c:v>
                </c:pt>
                <c:pt idx="4">
                  <c:v>1123.8</c:v>
                </c:pt>
                <c:pt idx="5">
                  <c:v>1073.5999999999999</c:v>
                </c:pt>
                <c:pt idx="6">
                  <c:v>1122</c:v>
                </c:pt>
                <c:pt idx="7">
                  <c:v>1140.8</c:v>
                </c:pt>
                <c:pt idx="8">
                  <c:v>1149.9000000000001</c:v>
                </c:pt>
                <c:pt idx="9">
                  <c:v>1277.4000000000001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91-7042-9EB2-C0614427E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4559487"/>
        <c:axId val="657906687"/>
      </c:lineChart>
      <c:catAx>
        <c:axId val="604559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7906687"/>
        <c:crosses val="autoZero"/>
        <c:auto val="1"/>
        <c:lblAlgn val="ctr"/>
        <c:lblOffset val="100"/>
        <c:noMultiLvlLbl val="0"/>
      </c:catAx>
      <c:valAx>
        <c:axId val="657906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Expenditure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55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2E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[cuny_expenditure_dashboard.xlsx]Dashboard!pt_Source_500670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Expenditure by Funding Source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Dashboard!$E$5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Dashboard!$D$6:$D$10</c:f>
              <c:strCache>
                <c:ptCount val="4"/>
                <c:pt idx="0">
                  <c:v>City Tax Levy</c:v>
                </c:pt>
                <c:pt idx="1">
                  <c:v>State and Federal Funds</c:v>
                </c:pt>
                <c:pt idx="2">
                  <c:v>State, Federal, Other Funds</c:v>
                </c:pt>
                <c:pt idx="3">
                  <c:v>Tuition</c:v>
                </c:pt>
              </c:strCache>
            </c:strRef>
          </c:cat>
          <c:val>
            <c:numRef>
              <c:f>Dashboard!$E$6:$E$10</c:f>
              <c:numCache>
                <c:formatCode>[$$-409]#,##0.0</c:formatCode>
                <c:ptCount val="4"/>
                <c:pt idx="0">
                  <c:v>5174.4999999999991</c:v>
                </c:pt>
                <c:pt idx="1">
                  <c:v>1567.3999999999999</c:v>
                </c:pt>
                <c:pt idx="2">
                  <c:v>1242.9000000000001</c:v>
                </c:pt>
                <c:pt idx="3">
                  <c:v>3192.4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65-3542-BF99-4D6C46BFF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6271039"/>
        <c:axId val="606272831"/>
      </c:barChart>
      <c:catAx>
        <c:axId val="60627103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Funding Source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2831"/>
        <c:crosses val="autoZero"/>
        <c:auto val="1"/>
        <c:lblAlgn val="ctr"/>
        <c:lblOffset val="100"/>
        <c:noMultiLvlLbl val="0"/>
      </c:catAx>
      <c:valAx>
        <c:axId val="606272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Expenditure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271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2E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[cuny_expenditure_dashboard.xlsx]Dashboard!pt_Trend_500670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Funding Source Trend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Dashboard!$B$23:$B$24</c:f>
              <c:strCache>
                <c:ptCount val="1"/>
                <c:pt idx="0">
                  <c:v>City Tax Levy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Dashboard!$A$25:$A$35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Dashboard!$B$25:$B$35</c:f>
              <c:numCache>
                <c:formatCode>[$$-409]#,##0.0</c:formatCode>
                <c:ptCount val="10"/>
                <c:pt idx="0">
                  <c:v>345.3</c:v>
                </c:pt>
                <c:pt idx="1">
                  <c:v>425.7</c:v>
                </c:pt>
                <c:pt idx="2">
                  <c:v>460</c:v>
                </c:pt>
                <c:pt idx="3">
                  <c:v>487.8</c:v>
                </c:pt>
                <c:pt idx="4">
                  <c:v>513.6</c:v>
                </c:pt>
                <c:pt idx="5">
                  <c:v>509</c:v>
                </c:pt>
                <c:pt idx="6">
                  <c:v>537</c:v>
                </c:pt>
                <c:pt idx="7">
                  <c:v>609.79999999999995</c:v>
                </c:pt>
                <c:pt idx="8">
                  <c:v>566.4</c:v>
                </c:pt>
                <c:pt idx="9">
                  <c:v>719.9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F9-0E4A-959B-0C070884F5A6}"/>
            </c:ext>
          </c:extLst>
        </c:ser>
        <c:ser>
          <c:idx val="1"/>
          <c:order val="1"/>
          <c:tx>
            <c:strRef>
              <c:f>Dashboard!$C$23:$C$24</c:f>
              <c:strCache>
                <c:ptCount val="1"/>
                <c:pt idx="0">
                  <c:v>State and Federal Funds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Dashboard!$A$25:$A$35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Dashboard!$C$25:$C$35</c:f>
              <c:numCache>
                <c:formatCode>[$$-409]#,##0.0</c:formatCode>
                <c:ptCount val="10"/>
                <c:pt idx="5">
                  <c:v>260.5</c:v>
                </c:pt>
                <c:pt idx="6">
                  <c:v>347.6</c:v>
                </c:pt>
                <c:pt idx="7">
                  <c:v>320.7</c:v>
                </c:pt>
                <c:pt idx="8">
                  <c:v>368.8</c:v>
                </c:pt>
                <c:pt idx="9">
                  <c:v>269.8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7F9-0E4A-959B-0C070884F5A6}"/>
            </c:ext>
          </c:extLst>
        </c:ser>
        <c:ser>
          <c:idx val="2"/>
          <c:order val="2"/>
          <c:tx>
            <c:strRef>
              <c:f>Dashboard!$D$23:$D$24</c:f>
              <c:strCache>
                <c:ptCount val="1"/>
                <c:pt idx="0">
                  <c:v>State, Federal, Other Funds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Dashboard!$A$25:$A$35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Dashboard!$D$25:$D$35</c:f>
              <c:numCache>
                <c:formatCode>[$$-409]#,##0.0</c:formatCode>
                <c:ptCount val="10"/>
                <c:pt idx="0">
                  <c:v>236.1</c:v>
                </c:pt>
                <c:pt idx="1">
                  <c:v>247.4</c:v>
                </c:pt>
                <c:pt idx="2">
                  <c:v>253.1</c:v>
                </c:pt>
                <c:pt idx="3">
                  <c:v>261.60000000000002</c:v>
                </c:pt>
                <c:pt idx="4">
                  <c:v>244.7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7F9-0E4A-959B-0C070884F5A6}"/>
            </c:ext>
          </c:extLst>
        </c:ser>
        <c:ser>
          <c:idx val="3"/>
          <c:order val="3"/>
          <c:tx>
            <c:strRef>
              <c:f>Dashboard!$E$23:$E$24</c:f>
              <c:strCache>
                <c:ptCount val="1"/>
                <c:pt idx="0">
                  <c:v>Tuition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Dashboard!$A$25:$A$35</c:f>
              <c:strCache>
                <c:ptCount val="10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</c:v>
                </c:pt>
                <c:pt idx="6">
                  <c:v>2022</c:v>
                </c:pt>
                <c:pt idx="7">
                  <c:v>2023</c:v>
                </c:pt>
                <c:pt idx="8">
                  <c:v>2024</c:v>
                </c:pt>
                <c:pt idx="9">
                  <c:v>2025</c:v>
                </c:pt>
              </c:strCache>
            </c:strRef>
          </c:cat>
          <c:val>
            <c:numRef>
              <c:f>Dashboard!$E$25:$E$35</c:f>
              <c:numCache>
                <c:formatCode>[$$-409]#,##0.0</c:formatCode>
                <c:ptCount val="10"/>
                <c:pt idx="0">
                  <c:v>401.7</c:v>
                </c:pt>
                <c:pt idx="1">
                  <c:v>404.8</c:v>
                </c:pt>
                <c:pt idx="2">
                  <c:v>387.2</c:v>
                </c:pt>
                <c:pt idx="3">
                  <c:v>379</c:v>
                </c:pt>
                <c:pt idx="4">
                  <c:v>365.5</c:v>
                </c:pt>
                <c:pt idx="5">
                  <c:v>304.10000000000002</c:v>
                </c:pt>
                <c:pt idx="6">
                  <c:v>237.4</c:v>
                </c:pt>
                <c:pt idx="7">
                  <c:v>210.3</c:v>
                </c:pt>
                <c:pt idx="8">
                  <c:v>214.7</c:v>
                </c:pt>
                <c:pt idx="9">
                  <c:v>287.7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7F9-0E4A-959B-0C070884F5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6595583"/>
        <c:axId val="606597375"/>
      </c:lineChart>
      <c:catAx>
        <c:axId val="6065955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Fiscal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97375"/>
        <c:crosses val="autoZero"/>
        <c:auto val="1"/>
        <c:lblAlgn val="ctr"/>
        <c:lblOffset val="100"/>
        <c:noMultiLvlLbl val="0"/>
      </c:catAx>
      <c:valAx>
        <c:axId val="60659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Expenditure ($mm)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[$$-409]#,##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5955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rgbClr val="D9E2EC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t_Total_Expenditure_By_FY">
          <a:extLst>
            <a:ext uri="{FF2B5EF4-FFF2-40B4-BE49-F238E27FC236}">
              <a16:creationId xmlns:a16="http://schemas.microsoft.com/office/drawing/2014/main" id="{6E5E8EFB-2AC9-E88F-BFC0-780D86BC4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t_Expenditure_By_Source">
          <a:extLst>
            <a:ext uri="{FF2B5EF4-FFF2-40B4-BE49-F238E27FC236}">
              <a16:creationId xmlns:a16="http://schemas.microsoft.com/office/drawing/2014/main" id="{6FABA719-4011-87AF-D686-0EFD3F4E47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0</xdr:colOff>
      <xdr:row>56</xdr:row>
      <xdr:rowOff>0</xdr:rowOff>
    </xdr:to>
    <xdr:graphicFrame macro="">
      <xdr:nvGraphicFramePr>
        <xdr:cNvPr id="4" name="cht_Funding_Source_Trend">
          <a:extLst>
            <a:ext uri="{FF2B5EF4-FFF2-40B4-BE49-F238E27FC236}">
              <a16:creationId xmlns:a16="http://schemas.microsoft.com/office/drawing/2014/main" id="{32318D0A-F83F-B864-F75D-BF77732F9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196.802091203703" createdVersion="8" refreshedVersion="8" minRefreshableVersion="3" recordCount="30" xr:uid="{7413078E-2CBC-C846-BFC3-54BA1C9CF03E}">
  <cacheSource type="worksheet">
    <worksheetSource ref="A1:D31" sheet="Cleaned_Data"/>
  </cacheSource>
  <cacheFields count="4">
    <cacheField name="Fiscal Year" numFmtId="1">
      <sharedItems containsSemiMixedTypes="0" containsString="0" containsNumber="1" containsInteger="1" minValue="2016" maxValue="2025" count="10"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Actual/Forecast" numFmtId="0">
      <sharedItems/>
    </cacheField>
    <cacheField name="Source" numFmtId="0">
      <sharedItems count="4">
        <s v="City Tax Levy"/>
        <s v="State, Federal, Other Funds"/>
        <s v="Tuition"/>
        <s v="State and Federal Funds"/>
      </sharedItems>
    </cacheField>
    <cacheField name="Amount" numFmtId="164">
      <sharedItems containsSemiMixedTypes="0" containsString="0" containsNumber="1" minValue="210.3" maxValue="719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x v="0"/>
    <s v="ACTUAL"/>
    <x v="0"/>
    <n v="345.3"/>
  </r>
  <r>
    <x v="0"/>
    <s v="ACTUAL"/>
    <x v="1"/>
    <n v="236.1"/>
  </r>
  <r>
    <x v="0"/>
    <s v="ACTUAL"/>
    <x v="2"/>
    <n v="401.7"/>
  </r>
  <r>
    <x v="1"/>
    <s v="ACTUAL"/>
    <x v="0"/>
    <n v="425.7"/>
  </r>
  <r>
    <x v="1"/>
    <s v="ACTUAL"/>
    <x v="1"/>
    <n v="247.4"/>
  </r>
  <r>
    <x v="1"/>
    <s v="ACTUAL"/>
    <x v="2"/>
    <n v="404.8"/>
  </r>
  <r>
    <x v="2"/>
    <s v="ACTUAL"/>
    <x v="0"/>
    <n v="460"/>
  </r>
  <r>
    <x v="2"/>
    <s v="ACTUAL"/>
    <x v="1"/>
    <n v="253.1"/>
  </r>
  <r>
    <x v="2"/>
    <s v="ACTUAL"/>
    <x v="2"/>
    <n v="387.2"/>
  </r>
  <r>
    <x v="3"/>
    <s v="ACTUAL"/>
    <x v="0"/>
    <n v="487.8"/>
  </r>
  <r>
    <x v="3"/>
    <s v="ACTUAL"/>
    <x v="1"/>
    <n v="261.60000000000002"/>
  </r>
  <r>
    <x v="3"/>
    <s v="ACTUAL"/>
    <x v="2"/>
    <n v="379"/>
  </r>
  <r>
    <x v="4"/>
    <s v="ACTUAL"/>
    <x v="0"/>
    <n v="513.6"/>
  </r>
  <r>
    <x v="4"/>
    <s v="ACTUAL"/>
    <x v="1"/>
    <n v="244.7"/>
  </r>
  <r>
    <x v="4"/>
    <s v="ACTUAL"/>
    <x v="2"/>
    <n v="365.5"/>
  </r>
  <r>
    <x v="5"/>
    <s v="ACTUAL"/>
    <x v="0"/>
    <n v="509"/>
  </r>
  <r>
    <x v="5"/>
    <s v="ACTUAL"/>
    <x v="3"/>
    <n v="260.5"/>
  </r>
  <r>
    <x v="5"/>
    <s v="ACTUAL"/>
    <x v="2"/>
    <n v="304.10000000000002"/>
  </r>
  <r>
    <x v="6"/>
    <s v="ACTUAL"/>
    <x v="0"/>
    <n v="537"/>
  </r>
  <r>
    <x v="6"/>
    <s v="ACTUAL"/>
    <x v="3"/>
    <n v="347.6"/>
  </r>
  <r>
    <x v="6"/>
    <s v="ACTUAL"/>
    <x v="2"/>
    <n v="237.4"/>
  </r>
  <r>
    <x v="7"/>
    <s v="ACTUAL"/>
    <x v="0"/>
    <n v="609.79999999999995"/>
  </r>
  <r>
    <x v="7"/>
    <s v="ACTUAL"/>
    <x v="3"/>
    <n v="320.7"/>
  </r>
  <r>
    <x v="7"/>
    <s v="ACTUAL"/>
    <x v="2"/>
    <n v="210.3"/>
  </r>
  <r>
    <x v="8"/>
    <s v="ACTUAL"/>
    <x v="0"/>
    <n v="566.4"/>
  </r>
  <r>
    <x v="8"/>
    <s v="ACTUAL"/>
    <x v="3"/>
    <n v="368.8"/>
  </r>
  <r>
    <x v="8"/>
    <s v="ACTUAL"/>
    <x v="2"/>
    <n v="214.7"/>
  </r>
  <r>
    <x v="9"/>
    <s v="ACTUAL"/>
    <x v="0"/>
    <n v="719.9"/>
  </r>
  <r>
    <x v="9"/>
    <s v="ACTUAL"/>
    <x v="3"/>
    <n v="269.8"/>
  </r>
  <r>
    <x v="9"/>
    <s v="ACTUAL"/>
    <x v="2"/>
    <n v="287.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CACF2-F668-4543-9513-435D9FC74240}" name="pt_Trend_50067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3:F35" firstHeaderRow="1" firstDataRow="2" firstDataCol="1"/>
  <pivotFields count="4"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axis="axisCol" showAll="0">
      <items count="5">
        <item x="0"/>
        <item x="3"/>
        <item x="1"/>
        <item x="2"/>
        <item t="default"/>
      </items>
    </pivotField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2"/>
  </colFields>
  <colItems count="5">
    <i>
      <x/>
    </i>
    <i>
      <x v="1"/>
    </i>
    <i>
      <x v="2"/>
    </i>
    <i>
      <x v="3"/>
    </i>
    <i t="grand">
      <x/>
    </i>
  </colItems>
  <dataFields count="1">
    <dataField name="Sum of Amount" fld="3" baseField="0" baseItem="0" numFmtId="164"/>
  </dataFields>
  <formats count="133">
    <format dxfId="396">
      <pivotArea outline="0" collapsedLevelsAreSubtotals="1" fieldPosition="0">
        <references count="1">
          <reference field="2" count="0" selected="0"/>
        </references>
      </pivotArea>
    </format>
    <format dxfId="395">
      <pivotArea outline="0" collapsedLevelsAreSubtotals="1" fieldPosition="0">
        <references count="1">
          <reference field="2" count="0" selected="0"/>
        </references>
      </pivotArea>
    </format>
    <format dxfId="394">
      <pivotArea outline="0" collapsedLevelsAreSubtotals="1" fieldPosition="0">
        <references count="1">
          <reference field="2" count="0" selected="0"/>
        </references>
      </pivotArea>
    </format>
    <format dxfId="393">
      <pivotArea outline="0" collapsedLevelsAreSubtotals="1" fieldPosition="0">
        <references count="1">
          <reference field="2" count="0" selected="0"/>
        </references>
      </pivotArea>
    </format>
    <format dxfId="392">
      <pivotArea outline="0" collapsedLevelsAreSubtotals="1" fieldPosition="0">
        <references count="1">
          <reference field="2" count="0" selected="0"/>
        </references>
      </pivotArea>
    </format>
    <format dxfId="391">
      <pivotArea outline="0" collapsedLevelsAreSubtotals="1" fieldPosition="0">
        <references count="1">
          <reference field="2" count="0" selected="0"/>
        </references>
      </pivotArea>
    </format>
    <format dxfId="390">
      <pivotArea outline="0" collapsedLevelsAreSubtotals="1" fieldPosition="0">
        <references count="1">
          <reference field="2" count="0" selected="0"/>
        </references>
      </pivotArea>
    </format>
    <format dxfId="389">
      <pivotArea outline="0" collapsedLevelsAreSubtotals="1" fieldPosition="0">
        <references count="1">
          <reference field="2" count="0" selected="0"/>
        </references>
      </pivotArea>
    </format>
    <format dxfId="388">
      <pivotArea outline="0" collapsedLevelsAreSubtotals="1" fieldPosition="0">
        <references count="1">
          <reference field="2" count="0" selected="0"/>
        </references>
      </pivotArea>
    </format>
    <format dxfId="337">
      <pivotArea outline="0" collapsedLevelsAreSubtotals="1" fieldPosition="0">
        <references count="1">
          <reference field="2" count="0" selected="0"/>
        </references>
      </pivotArea>
    </format>
    <format dxfId="336">
      <pivotArea outline="0" collapsedLevelsAreSubtotals="1" fieldPosition="0">
        <references count="1">
          <reference field="2" count="0" selected="0"/>
        </references>
      </pivotArea>
    </format>
    <format dxfId="335">
      <pivotArea outline="0" collapsedLevelsAreSubtotals="1" fieldPosition="0">
        <references count="1">
          <reference field="2" count="0" selected="0"/>
        </references>
      </pivotArea>
    </format>
    <format dxfId="334">
      <pivotArea outline="0" collapsedLevelsAreSubtotals="1" fieldPosition="0">
        <references count="1">
          <reference field="2" count="0" selected="0"/>
        </references>
      </pivotArea>
    </format>
    <format dxfId="333">
      <pivotArea outline="0" collapsedLevelsAreSubtotals="1" fieldPosition="0">
        <references count="1">
          <reference field="2" count="0" selected="0"/>
        </references>
      </pivotArea>
    </format>
    <format dxfId="332">
      <pivotArea outline="0" collapsedLevelsAreSubtotals="1" fieldPosition="0">
        <references count="1">
          <reference field="2" count="0" selected="0"/>
        </references>
      </pivotArea>
    </format>
    <format dxfId="331">
      <pivotArea outline="0" collapsedLevelsAreSubtotals="1" fieldPosition="0">
        <references count="1">
          <reference field="2" count="0" selected="0"/>
        </references>
      </pivotArea>
    </format>
    <format dxfId="330">
      <pivotArea outline="0" collapsedLevelsAreSubtotals="1" fieldPosition="0">
        <references count="1">
          <reference field="2" count="0" selected="0"/>
        </references>
      </pivotArea>
    </format>
    <format dxfId="329">
      <pivotArea outline="0" collapsedLevelsAreSubtotals="1" fieldPosition="0">
        <references count="1">
          <reference field="2" count="0" selected="0"/>
        </references>
      </pivotArea>
    </format>
    <format dxfId="328">
      <pivotArea collapsedLevelsAreSubtotals="1" fieldPosition="0">
        <references count="2">
          <reference field="0" count="1">
            <x v="0"/>
          </reference>
          <reference field="2" count="1" selected="0">
            <x v="0"/>
          </reference>
        </references>
      </pivotArea>
    </format>
    <format dxfId="326">
      <pivotArea collapsedLevelsAreSubtotals="1" fieldPosition="0">
        <references count="2">
          <reference field="0" count="1">
            <x v="0"/>
          </reference>
          <reference field="2" count="1" selected="0">
            <x v="1"/>
          </reference>
        </references>
      </pivotArea>
    </format>
    <format dxfId="324">
      <pivotArea collapsedLevelsAreSubtotals="1" fieldPosition="0">
        <references count="2">
          <reference field="0" count="1">
            <x v="0"/>
          </reference>
          <reference field="2" count="1" selected="0">
            <x v="2"/>
          </reference>
        </references>
      </pivotArea>
    </format>
    <format dxfId="322">
      <pivotArea collapsedLevelsAreSubtotals="1" fieldPosition="0">
        <references count="2">
          <reference field="0" count="1">
            <x v="0"/>
          </reference>
          <reference field="2" count="1" selected="0">
            <x v="3"/>
          </reference>
        </references>
      </pivotArea>
    </format>
    <format dxfId="320">
      <pivotArea collapsedLevelsAreSubtotals="1" fieldPosition="0">
        <references count="2">
          <reference field="0" count="1">
            <x v="1"/>
          </reference>
          <reference field="2" count="1" selected="0">
            <x v="0"/>
          </reference>
        </references>
      </pivotArea>
    </format>
    <format dxfId="318">
      <pivotArea collapsedLevelsAreSubtotals="1" fieldPosition="0">
        <references count="2">
          <reference field="0" count="1">
            <x v="1"/>
          </reference>
          <reference field="2" count="1" selected="0">
            <x v="1"/>
          </reference>
        </references>
      </pivotArea>
    </format>
    <format dxfId="316">
      <pivotArea collapsedLevelsAreSubtotals="1" fieldPosition="0">
        <references count="2">
          <reference field="0" count="1">
            <x v="1"/>
          </reference>
          <reference field="2" count="1" selected="0">
            <x v="2"/>
          </reference>
        </references>
      </pivotArea>
    </format>
    <format dxfId="314">
      <pivotArea collapsedLevelsAreSubtotals="1" fieldPosition="0">
        <references count="2">
          <reference field="0" count="1">
            <x v="1"/>
          </reference>
          <reference field="2" count="1" selected="0">
            <x v="3"/>
          </reference>
        </references>
      </pivotArea>
    </format>
    <format dxfId="312">
      <pivotArea collapsedLevelsAreSubtotals="1" fieldPosition="0">
        <references count="2">
          <reference field="0" count="1">
            <x v="2"/>
          </reference>
          <reference field="2" count="1" selected="0">
            <x v="0"/>
          </reference>
        </references>
      </pivotArea>
    </format>
    <format dxfId="310">
      <pivotArea collapsedLevelsAreSubtotals="1" fieldPosition="0">
        <references count="2">
          <reference field="0" count="1">
            <x v="2"/>
          </reference>
          <reference field="2" count="1" selected="0">
            <x v="1"/>
          </reference>
        </references>
      </pivotArea>
    </format>
    <format dxfId="308">
      <pivotArea collapsedLevelsAreSubtotals="1" fieldPosition="0">
        <references count="2">
          <reference field="0" count="1">
            <x v="2"/>
          </reference>
          <reference field="2" count="1" selected="0">
            <x v="2"/>
          </reference>
        </references>
      </pivotArea>
    </format>
    <format dxfId="306">
      <pivotArea collapsedLevelsAreSubtotals="1" fieldPosition="0">
        <references count="2">
          <reference field="0" count="1">
            <x v="2"/>
          </reference>
          <reference field="2" count="1" selected="0">
            <x v="3"/>
          </reference>
        </references>
      </pivotArea>
    </format>
    <format dxfId="304">
      <pivotArea collapsedLevelsAreSubtotals="1" fieldPosition="0">
        <references count="2">
          <reference field="0" count="1">
            <x v="3"/>
          </reference>
          <reference field="2" count="1" selected="0">
            <x v="0"/>
          </reference>
        </references>
      </pivotArea>
    </format>
    <format dxfId="302">
      <pivotArea collapsedLevelsAreSubtotals="1" fieldPosition="0">
        <references count="2">
          <reference field="0" count="1">
            <x v="3"/>
          </reference>
          <reference field="2" count="1" selected="0">
            <x v="1"/>
          </reference>
        </references>
      </pivotArea>
    </format>
    <format dxfId="300">
      <pivotArea collapsedLevelsAreSubtotals="1" fieldPosition="0">
        <references count="2">
          <reference field="0" count="1">
            <x v="3"/>
          </reference>
          <reference field="2" count="1" selected="0">
            <x v="2"/>
          </reference>
        </references>
      </pivotArea>
    </format>
    <format dxfId="298">
      <pivotArea collapsedLevelsAreSubtotals="1" fieldPosition="0">
        <references count="2">
          <reference field="0" count="1">
            <x v="3"/>
          </reference>
          <reference field="2" count="1" selected="0">
            <x v="3"/>
          </reference>
        </references>
      </pivotArea>
    </format>
    <format dxfId="296">
      <pivotArea collapsedLevelsAreSubtotals="1" fieldPosition="0">
        <references count="2">
          <reference field="0" count="1">
            <x v="4"/>
          </reference>
          <reference field="2" count="1" selected="0">
            <x v="0"/>
          </reference>
        </references>
      </pivotArea>
    </format>
    <format dxfId="294">
      <pivotArea collapsedLevelsAreSubtotals="1" fieldPosition="0">
        <references count="2">
          <reference field="0" count="1">
            <x v="4"/>
          </reference>
          <reference field="2" count="1" selected="0">
            <x v="1"/>
          </reference>
        </references>
      </pivotArea>
    </format>
    <format dxfId="292">
      <pivotArea collapsedLevelsAreSubtotals="1" fieldPosition="0">
        <references count="2">
          <reference field="0" count="1">
            <x v="4"/>
          </reference>
          <reference field="2" count="1" selected="0">
            <x v="2"/>
          </reference>
        </references>
      </pivotArea>
    </format>
    <format dxfId="290">
      <pivotArea collapsedLevelsAreSubtotals="1" fieldPosition="0">
        <references count="2">
          <reference field="0" count="1">
            <x v="4"/>
          </reference>
          <reference field="2" count="1" selected="0">
            <x v="3"/>
          </reference>
        </references>
      </pivotArea>
    </format>
    <format dxfId="288">
      <pivotArea collapsedLevelsAreSubtotals="1" fieldPosition="0">
        <references count="2">
          <reference field="0" count="1">
            <x v="5"/>
          </reference>
          <reference field="2" count="1" selected="0">
            <x v="0"/>
          </reference>
        </references>
      </pivotArea>
    </format>
    <format dxfId="286">
      <pivotArea collapsedLevelsAreSubtotals="1" fieldPosition="0">
        <references count="2">
          <reference field="0" count="1">
            <x v="5"/>
          </reference>
          <reference field="2" count="1" selected="0">
            <x v="1"/>
          </reference>
        </references>
      </pivotArea>
    </format>
    <format dxfId="284">
      <pivotArea collapsedLevelsAreSubtotals="1" fieldPosition="0">
        <references count="2">
          <reference field="0" count="1">
            <x v="5"/>
          </reference>
          <reference field="2" count="1" selected="0">
            <x v="2"/>
          </reference>
        </references>
      </pivotArea>
    </format>
    <format dxfId="282">
      <pivotArea collapsedLevelsAreSubtotals="1" fieldPosition="0">
        <references count="2">
          <reference field="0" count="1">
            <x v="5"/>
          </reference>
          <reference field="2" count="1" selected="0">
            <x v="3"/>
          </reference>
        </references>
      </pivotArea>
    </format>
    <format dxfId="280">
      <pivotArea collapsedLevelsAreSubtotals="1" fieldPosition="0">
        <references count="2">
          <reference field="0" count="1">
            <x v="6"/>
          </reference>
          <reference field="2" count="1" selected="0">
            <x v="0"/>
          </reference>
        </references>
      </pivotArea>
    </format>
    <format dxfId="278">
      <pivotArea collapsedLevelsAreSubtotals="1" fieldPosition="0">
        <references count="2">
          <reference field="0" count="1">
            <x v="6"/>
          </reference>
          <reference field="2" count="1" selected="0">
            <x v="1"/>
          </reference>
        </references>
      </pivotArea>
    </format>
    <format dxfId="276">
      <pivotArea collapsedLevelsAreSubtotals="1" fieldPosition="0">
        <references count="2">
          <reference field="0" count="1">
            <x v="6"/>
          </reference>
          <reference field="2" count="1" selected="0">
            <x v="2"/>
          </reference>
        </references>
      </pivotArea>
    </format>
    <format dxfId="274">
      <pivotArea collapsedLevelsAreSubtotals="1" fieldPosition="0">
        <references count="2">
          <reference field="0" count="1">
            <x v="6"/>
          </reference>
          <reference field="2" count="1" selected="0">
            <x v="3"/>
          </reference>
        </references>
      </pivotArea>
    </format>
    <format dxfId="272">
      <pivotArea collapsedLevelsAreSubtotals="1" fieldPosition="0">
        <references count="2">
          <reference field="0" count="1">
            <x v="7"/>
          </reference>
          <reference field="2" count="1" selected="0">
            <x v="0"/>
          </reference>
        </references>
      </pivotArea>
    </format>
    <format dxfId="270">
      <pivotArea collapsedLevelsAreSubtotals="1" fieldPosition="0">
        <references count="2">
          <reference field="0" count="1">
            <x v="7"/>
          </reference>
          <reference field="2" count="1" selected="0">
            <x v="1"/>
          </reference>
        </references>
      </pivotArea>
    </format>
    <format dxfId="268">
      <pivotArea collapsedLevelsAreSubtotals="1" fieldPosition="0">
        <references count="2">
          <reference field="0" count="1">
            <x v="7"/>
          </reference>
          <reference field="2" count="1" selected="0">
            <x v="2"/>
          </reference>
        </references>
      </pivotArea>
    </format>
    <format dxfId="266">
      <pivotArea collapsedLevelsAreSubtotals="1" fieldPosition="0">
        <references count="2">
          <reference field="0" count="1">
            <x v="7"/>
          </reference>
          <reference field="2" count="1" selected="0">
            <x v="3"/>
          </reference>
        </references>
      </pivotArea>
    </format>
    <format dxfId="264">
      <pivotArea collapsedLevelsAreSubtotals="1" fieldPosition="0">
        <references count="2">
          <reference field="0" count="1">
            <x v="8"/>
          </reference>
          <reference field="2" count="1" selected="0">
            <x v="0"/>
          </reference>
        </references>
      </pivotArea>
    </format>
    <format dxfId="262">
      <pivotArea collapsedLevelsAreSubtotals="1" fieldPosition="0">
        <references count="2">
          <reference field="0" count="1">
            <x v="8"/>
          </reference>
          <reference field="2" count="1" selected="0">
            <x v="1"/>
          </reference>
        </references>
      </pivotArea>
    </format>
    <format dxfId="260">
      <pivotArea collapsedLevelsAreSubtotals="1" fieldPosition="0">
        <references count="2">
          <reference field="0" count="1">
            <x v="8"/>
          </reference>
          <reference field="2" count="1" selected="0">
            <x v="2"/>
          </reference>
        </references>
      </pivotArea>
    </format>
    <format dxfId="258">
      <pivotArea collapsedLevelsAreSubtotals="1" fieldPosition="0">
        <references count="2">
          <reference field="0" count="1">
            <x v="8"/>
          </reference>
          <reference field="2" count="1" selected="0">
            <x v="3"/>
          </reference>
        </references>
      </pivotArea>
    </format>
    <format dxfId="256">
      <pivotArea collapsedLevelsAreSubtotals="1" fieldPosition="0">
        <references count="2">
          <reference field="0" count="1">
            <x v="9"/>
          </reference>
          <reference field="2" count="1" selected="0">
            <x v="0"/>
          </reference>
        </references>
      </pivotArea>
    </format>
    <format dxfId="254">
      <pivotArea collapsedLevelsAreSubtotals="1" fieldPosition="0">
        <references count="2">
          <reference field="0" count="1">
            <x v="9"/>
          </reference>
          <reference field="2" count="1" selected="0">
            <x v="1"/>
          </reference>
        </references>
      </pivotArea>
    </format>
    <format dxfId="252">
      <pivotArea collapsedLevelsAreSubtotals="1" fieldPosition="0">
        <references count="2">
          <reference field="0" count="1">
            <x v="9"/>
          </reference>
          <reference field="2" count="1" selected="0">
            <x v="2"/>
          </reference>
        </references>
      </pivotArea>
    </format>
    <format dxfId="250">
      <pivotArea collapsedLevelsAreSubtotals="1" fieldPosition="0">
        <references count="2">
          <reference field="0" count="1">
            <x v="9"/>
          </reference>
          <reference field="2" count="1" selected="0">
            <x v="3"/>
          </reference>
        </references>
      </pivotArea>
    </format>
    <format dxfId="248">
      <pivotArea field="2" grandRow="1" outline="0" collapsedLevelsAreSubtotals="1" axis="axisCol" fieldPosition="0">
        <references count="1">
          <reference field="2" count="1" selected="0">
            <x v="0"/>
          </reference>
        </references>
      </pivotArea>
    </format>
    <format dxfId="246">
      <pivotArea field="2" grandRow="1" outline="0" collapsedLevelsAreSubtotals="1" axis="axisCol" fieldPosition="0">
        <references count="1">
          <reference field="2" count="1" selected="0">
            <x v="1"/>
          </reference>
        </references>
      </pivotArea>
    </format>
    <format dxfId="244">
      <pivotArea field="2" grandRow="1" outline="0" collapsedLevelsAreSubtotals="1" axis="axisCol" fieldPosition="0">
        <references count="1">
          <reference field="2" count="1" selected="0">
            <x v="2"/>
          </reference>
        </references>
      </pivotArea>
    </format>
    <format dxfId="242">
      <pivotArea field="2" grandRow="1" outline="0" collapsedLevelsAreSubtotals="1" axis="axisCol" fieldPosition="0">
        <references count="1">
          <reference field="2" count="1" selected="0">
            <x v="3"/>
          </reference>
        </references>
      </pivotArea>
    </format>
    <format dxfId="186">
      <pivotArea outline="0" collapsedLevelsAreSubtotals="1" fieldPosition="0">
        <references count="1">
          <reference field="2" count="0" selected="0"/>
        </references>
      </pivotArea>
    </format>
    <format dxfId="185">
      <pivotArea grandCol="1" outline="0" collapsedLevelsAreSubtotals="1" fieldPosition="0"/>
    </format>
    <format dxfId="106">
      <pivotArea type="origin" dataOnly="0" labelOnly="1" outline="0" fieldPosition="0"/>
    </format>
    <format dxfId="105">
      <pivotArea field="2" type="button" dataOnly="0" labelOnly="1" outline="0" axis="axisCol" fieldPosition="0"/>
    </format>
    <format dxfId="104">
      <pivotArea type="topRight" dataOnly="0" labelOnly="1" outline="0" fieldPosition="0"/>
    </format>
    <format dxfId="103">
      <pivotArea field="0" type="button" dataOnly="0" labelOnly="1" outline="0" axis="axisRow" fieldPosition="0"/>
    </format>
    <format dxfId="102">
      <pivotArea dataOnly="0" labelOnly="1" fieldPosition="0">
        <references count="1">
          <reference field="2" count="0"/>
        </references>
      </pivotArea>
    </format>
    <format dxfId="101">
      <pivotArea dataOnly="0" labelOnly="1" grandCol="1" outline="0" fieldPosition="0"/>
    </format>
    <format dxfId="100">
      <pivotArea type="origin" dataOnly="0" labelOnly="1" outline="0" fieldPosition="0"/>
    </format>
    <format dxfId="99">
      <pivotArea field="2" type="button" dataOnly="0" labelOnly="1" outline="0" axis="axisCol" fieldPosition="0"/>
    </format>
    <format dxfId="98">
      <pivotArea type="topRight" dataOnly="0" labelOnly="1" outline="0" fieldPosition="0"/>
    </format>
    <format dxfId="97">
      <pivotArea field="0" type="button" dataOnly="0" labelOnly="1" outline="0" axis="axisRow" fieldPosition="0"/>
    </format>
    <format dxfId="96">
      <pivotArea dataOnly="0" labelOnly="1" fieldPosition="0">
        <references count="1">
          <reference field="2" count="0"/>
        </references>
      </pivotArea>
    </format>
    <format dxfId="95">
      <pivotArea dataOnly="0" labelOnly="1" grandCol="1" outline="0" fieldPosition="0"/>
    </format>
    <format dxfId="94">
      <pivotArea type="origin" dataOnly="0" labelOnly="1" outline="0" fieldPosition="0"/>
    </format>
    <format dxfId="93">
      <pivotArea field="2" type="button" dataOnly="0" labelOnly="1" outline="0" axis="axisCol" fieldPosition="0"/>
    </format>
    <format dxfId="92">
      <pivotArea type="topRight" dataOnly="0" labelOnly="1" outline="0" fieldPosition="0"/>
    </format>
    <format dxfId="91">
      <pivotArea field="0" type="button" dataOnly="0" labelOnly="1" outline="0" axis="axisRow" fieldPosition="0"/>
    </format>
    <format dxfId="90">
      <pivotArea dataOnly="0" labelOnly="1" fieldPosition="0">
        <references count="1">
          <reference field="2" count="0"/>
        </references>
      </pivotArea>
    </format>
    <format dxfId="89">
      <pivotArea dataOnly="0" labelOnly="1" grandCol="1" outline="0" fieldPosition="0"/>
    </format>
    <format dxfId="88">
      <pivotArea type="origin" dataOnly="0" labelOnly="1" outline="0" fieldPosition="0"/>
    </format>
    <format dxfId="87">
      <pivotArea field="2" type="button" dataOnly="0" labelOnly="1" outline="0" axis="axisCol" fieldPosition="0"/>
    </format>
    <format dxfId="86">
      <pivotArea type="topRight" dataOnly="0" labelOnly="1" outline="0" fieldPosition="0"/>
    </format>
    <format dxfId="85">
      <pivotArea field="0" type="button" dataOnly="0" labelOnly="1" outline="0" axis="axisRow" fieldPosition="0"/>
    </format>
    <format dxfId="84">
      <pivotArea dataOnly="0" labelOnly="1" fieldPosition="0">
        <references count="1">
          <reference field="2" count="0"/>
        </references>
      </pivotArea>
    </format>
    <format dxfId="83">
      <pivotArea dataOnly="0" labelOnly="1" grandCol="1" outline="0" fieldPosition="0"/>
    </format>
    <format dxfId="82">
      <pivotArea type="origin" dataOnly="0" labelOnly="1" outline="0" fieldPosition="0"/>
    </format>
    <format dxfId="81">
      <pivotArea field="2" type="button" dataOnly="0" labelOnly="1" outline="0" axis="axisCol" fieldPosition="0"/>
    </format>
    <format dxfId="80">
      <pivotArea type="topRight" dataOnly="0" labelOnly="1" outline="0" fieldPosition="0"/>
    </format>
    <format dxfId="79">
      <pivotArea field="0" type="button" dataOnly="0" labelOnly="1" outline="0" axis="axisRow" fieldPosition="0"/>
    </format>
    <format dxfId="78">
      <pivotArea dataOnly="0" labelOnly="1" fieldPosition="0">
        <references count="1">
          <reference field="2" count="0"/>
        </references>
      </pivotArea>
    </format>
    <format dxfId="77">
      <pivotArea dataOnly="0" labelOnly="1" grandCol="1" outline="0" fieldPosition="0"/>
    </format>
    <format dxfId="76">
      <pivotArea type="origin" dataOnly="0" labelOnly="1" outline="0" fieldPosition="0"/>
    </format>
    <format dxfId="75">
      <pivotArea field="2" type="button" dataOnly="0" labelOnly="1" outline="0" axis="axisCol" fieldPosition="0"/>
    </format>
    <format dxfId="74">
      <pivotArea type="topRight" dataOnly="0" labelOnly="1" outline="0" fieldPosition="0"/>
    </format>
    <format dxfId="73">
      <pivotArea field="0" type="button" dataOnly="0" labelOnly="1" outline="0" axis="axisRow" fieldPosition="0"/>
    </format>
    <format dxfId="72">
      <pivotArea dataOnly="0" labelOnly="1" fieldPosition="0">
        <references count="1">
          <reference field="2" count="0"/>
        </references>
      </pivotArea>
    </format>
    <format dxfId="71">
      <pivotArea dataOnly="0" labelOnly="1" grandCol="1" outline="0" fieldPosition="0"/>
    </format>
    <format dxfId="70">
      <pivotArea type="origin" dataOnly="0" labelOnly="1" outline="0" fieldPosition="0"/>
    </format>
    <format dxfId="69">
      <pivotArea field="2" type="button" dataOnly="0" labelOnly="1" outline="0" axis="axisCol" fieldPosition="0"/>
    </format>
    <format dxfId="68">
      <pivotArea type="topRight" dataOnly="0" labelOnly="1" outline="0" fieldPosition="0"/>
    </format>
    <format dxfId="67">
      <pivotArea field="0" type="button" dataOnly="0" labelOnly="1" outline="0" axis="axisRow" fieldPosition="0"/>
    </format>
    <format dxfId="66">
      <pivotArea dataOnly="0" labelOnly="1" fieldPosition="0">
        <references count="1">
          <reference field="2" count="0"/>
        </references>
      </pivotArea>
    </format>
    <format dxfId="65">
      <pivotArea dataOnly="0" labelOnly="1" grandCol="1" outline="0" fieldPosition="0"/>
    </format>
    <format dxfId="64">
      <pivotArea type="origin" dataOnly="0" labelOnly="1" outline="0" fieldPosition="0"/>
    </format>
    <format dxfId="63">
      <pivotArea field="2" type="button" dataOnly="0" labelOnly="1" outline="0" axis="axisCol" fieldPosition="0"/>
    </format>
    <format dxfId="62">
      <pivotArea type="topRight" dataOnly="0" labelOnly="1" outline="0" fieldPosition="0"/>
    </format>
    <format dxfId="61">
      <pivotArea field="0" type="button" dataOnly="0" labelOnly="1" outline="0" axis="axisRow" fieldPosition="0"/>
    </format>
    <format dxfId="60">
      <pivotArea dataOnly="0" labelOnly="1" fieldPosition="0">
        <references count="1">
          <reference field="2" count="0"/>
        </references>
      </pivotArea>
    </format>
    <format dxfId="59">
      <pivotArea dataOnly="0" labelOnly="1" grandCol="1" outline="0" fieldPosition="0"/>
    </format>
    <format dxfId="58">
      <pivotArea type="origin" dataOnly="0" labelOnly="1" outline="0" fieldPosition="0"/>
    </format>
    <format dxfId="57">
      <pivotArea field="2" type="button" dataOnly="0" labelOnly="1" outline="0" axis="axisCol" fieldPosition="0"/>
    </format>
    <format dxfId="56">
      <pivotArea type="topRight" dataOnly="0" labelOnly="1" outline="0" fieldPosition="0"/>
    </format>
    <format dxfId="55">
      <pivotArea field="0" type="button" dataOnly="0" labelOnly="1" outline="0" axis="axisRow" fieldPosition="0"/>
    </format>
    <format dxfId="54">
      <pivotArea dataOnly="0" labelOnly="1" fieldPosition="0">
        <references count="1">
          <reference field="2" count="0"/>
        </references>
      </pivotArea>
    </format>
    <format dxfId="53">
      <pivotArea dataOnly="0" labelOnly="1" grandCol="1" outline="0" fieldPosition="0"/>
    </format>
    <format dxfId="52">
      <pivotArea type="origin" dataOnly="0" labelOnly="1" outline="0" fieldPosition="0"/>
    </format>
    <format dxfId="51">
      <pivotArea field="2" type="button" dataOnly="0" labelOnly="1" outline="0" axis="axisCol" fieldPosition="0"/>
    </format>
    <format dxfId="50">
      <pivotArea type="topRight" dataOnly="0" labelOnly="1" outline="0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2" count="1">
            <x v="0"/>
          </reference>
        </references>
      </pivotArea>
    </format>
    <format dxfId="47">
      <pivotArea dataOnly="0" labelOnly="1" fieldPosition="0">
        <references count="1">
          <reference field="2" count="1">
            <x v="1"/>
          </reference>
        </references>
      </pivotArea>
    </format>
    <format dxfId="46">
      <pivotArea dataOnly="0" labelOnly="1" fieldPosition="0">
        <references count="1">
          <reference field="2" count="1">
            <x v="2"/>
          </reference>
        </references>
      </pivotArea>
    </format>
    <format dxfId="45">
      <pivotArea dataOnly="0" labelOnly="1" fieldPosition="0">
        <references count="1">
          <reference field="2" count="1">
            <x v="3"/>
          </reference>
        </references>
      </pivotArea>
    </format>
    <format dxfId="44">
      <pivotArea dataOnly="0" labelOnly="1" grandCol="1" outline="0" fieldPosition="0"/>
    </format>
    <format dxfId="37">
      <pivotArea type="origin" dataOnly="0" labelOnly="1" outline="0" fieldPosition="0"/>
    </format>
    <format dxfId="35">
      <pivotArea field="2" type="button" dataOnly="0" labelOnly="1" outline="0" axis="axisCol" fieldPosition="0"/>
    </format>
    <format dxfId="33">
      <pivotArea type="topRight" dataOnly="0" labelOnly="1" outline="0" fieldPosition="0"/>
    </format>
    <format dxfId="31">
      <pivotArea field="0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7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4A3F93-6D5A-0F4C-B7B1-A47A33D3C790}" name="pt_Source_50067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5:E10" firstHeaderRow="1" firstDataRow="1" firstDataCol="1"/>
  <pivotFields count="4">
    <pivotField numFmtId="1" showAll="0"/>
    <pivotField showAll="0"/>
    <pivotField axis="axisRow" showAll="0">
      <items count="5">
        <item x="0"/>
        <item x="3"/>
        <item x="1"/>
        <item x="2"/>
        <item t="default"/>
      </items>
    </pivotField>
    <pivotField dataField="1"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 numFmtId="166"/>
  </dataFields>
  <formats count="46">
    <format dxfId="405">
      <pivotArea outline="0" collapsedLevelsAreSubtotals="1" fieldPosition="0"/>
    </format>
    <format dxfId="404">
      <pivotArea outline="0" collapsedLevelsAreSubtotals="1" fieldPosition="0"/>
    </format>
    <format dxfId="403">
      <pivotArea outline="0" collapsedLevelsAreSubtotals="1" fieldPosition="0"/>
    </format>
    <format dxfId="402">
      <pivotArea outline="0" collapsedLevelsAreSubtotals="1" fieldPosition="0"/>
    </format>
    <format dxfId="401">
      <pivotArea outline="0" collapsedLevelsAreSubtotals="1" fieldPosition="0"/>
    </format>
    <format dxfId="400">
      <pivotArea outline="0" collapsedLevelsAreSubtotals="1" fieldPosition="0"/>
    </format>
    <format dxfId="399">
      <pivotArea outline="0" collapsedLevelsAreSubtotals="1" fieldPosition="0"/>
    </format>
    <format dxfId="398">
      <pivotArea outline="0" collapsedLevelsAreSubtotals="1" fieldPosition="0"/>
    </format>
    <format dxfId="397">
      <pivotArea outline="0" collapsedLevelsAreSubtotals="1" fieldPosition="0"/>
    </format>
    <format dxfId="356">
      <pivotArea outline="0" collapsedLevelsAreSubtotals="1" fieldPosition="0"/>
    </format>
    <format dxfId="355">
      <pivotArea outline="0" collapsedLevelsAreSubtotals="1" fieldPosition="0"/>
    </format>
    <format dxfId="354">
      <pivotArea outline="0" collapsedLevelsAreSubtotals="1" fieldPosition="0"/>
    </format>
    <format dxfId="353">
      <pivotArea outline="0" collapsedLevelsAreSubtotals="1" fieldPosition="0"/>
    </format>
    <format dxfId="352">
      <pivotArea outline="0" collapsedLevelsAreSubtotals="1" fieldPosition="0"/>
    </format>
    <format dxfId="351">
      <pivotArea outline="0" collapsedLevelsAreSubtotals="1" fieldPosition="0"/>
    </format>
    <format dxfId="350">
      <pivotArea outline="0" collapsedLevelsAreSubtotals="1" fieldPosition="0"/>
    </format>
    <format dxfId="349">
      <pivotArea outline="0" collapsedLevelsAreSubtotals="1" fieldPosition="0"/>
    </format>
    <format dxfId="348">
      <pivotArea outline="0" collapsedLevelsAreSubtotals="1" fieldPosition="0"/>
    </format>
    <format dxfId="347">
      <pivotArea collapsedLevelsAreSubtotals="1" fieldPosition="0">
        <references count="1">
          <reference field="2" count="1">
            <x v="0"/>
          </reference>
        </references>
      </pivotArea>
    </format>
    <format dxfId="345">
      <pivotArea collapsedLevelsAreSubtotals="1" fieldPosition="0">
        <references count="1">
          <reference field="2" count="1">
            <x v="1"/>
          </reference>
        </references>
      </pivotArea>
    </format>
    <format dxfId="343">
      <pivotArea collapsedLevelsAreSubtotals="1" fieldPosition="0">
        <references count="1">
          <reference field="2" count="1">
            <x v="2"/>
          </reference>
        </references>
      </pivotArea>
    </format>
    <format dxfId="341">
      <pivotArea collapsedLevelsAreSubtotals="1" fieldPosition="0">
        <references count="1">
          <reference field="2" count="1">
            <x v="3"/>
          </reference>
        </references>
      </pivotArea>
    </format>
    <format dxfId="339">
      <pivotArea grandRow="1" outline="0" collapsedLevelsAreSubtotals="1" fieldPosition="0"/>
    </format>
    <format dxfId="187">
      <pivotArea outline="0" collapsedLevelsAreSubtotals="1" fieldPosition="0"/>
    </format>
    <format dxfId="145">
      <pivotArea field="2" type="button" dataOnly="0" labelOnly="1" outline="0" axis="axisRow" fieldPosition="0"/>
    </format>
    <format dxfId="144">
      <pivotArea dataOnly="0" labelOnly="1" outline="0" axis="axisValues" fieldPosition="0"/>
    </format>
    <format dxfId="142">
      <pivotArea field="2" type="button" dataOnly="0" labelOnly="1" outline="0" axis="axisRow" fieldPosition="0"/>
    </format>
    <format dxfId="141">
      <pivotArea dataOnly="0" labelOnly="1" outline="0" axis="axisValues" fieldPosition="0"/>
    </format>
    <format dxfId="139">
      <pivotArea field="2" type="button" dataOnly="0" labelOnly="1" outline="0" axis="axisRow" fieldPosition="0"/>
    </format>
    <format dxfId="138">
      <pivotArea dataOnly="0" labelOnly="1" outline="0" axis="axisValues" fieldPosition="0"/>
    </format>
    <format dxfId="136">
      <pivotArea field="2" type="button" dataOnly="0" labelOnly="1" outline="0" axis="axisRow" fieldPosition="0"/>
    </format>
    <format dxfId="135">
      <pivotArea dataOnly="0" labelOnly="1" outline="0" axis="axisValues" fieldPosition="0"/>
    </format>
    <format dxfId="133">
      <pivotArea field="2" type="button" dataOnly="0" labelOnly="1" outline="0" axis="axisRow" fieldPosition="0"/>
    </format>
    <format dxfId="132">
      <pivotArea dataOnly="0" labelOnly="1" outline="0" axis="axisValues" fieldPosition="0"/>
    </format>
    <format dxfId="130">
      <pivotArea field="2" type="button" dataOnly="0" labelOnly="1" outline="0" axis="axisRow" fieldPosition="0"/>
    </format>
    <format dxfId="129">
      <pivotArea dataOnly="0" labelOnly="1" outline="0" axis="axisValues" fieldPosition="0"/>
    </format>
    <format dxfId="127">
      <pivotArea field="2" type="button" dataOnly="0" labelOnly="1" outline="0" axis="axisRow" fieldPosition="0"/>
    </format>
    <format dxfId="126">
      <pivotArea dataOnly="0" labelOnly="1" outline="0" axis="axisValues" fieldPosition="0"/>
    </format>
    <format dxfId="124">
      <pivotArea field="2" type="button" dataOnly="0" labelOnly="1" outline="0" axis="axisRow" fieldPosition="0"/>
    </format>
    <format dxfId="123">
      <pivotArea dataOnly="0" labelOnly="1" outline="0" axis="axisValues" fieldPosition="0"/>
    </format>
    <format dxfId="121">
      <pivotArea field="2" type="button" dataOnly="0" labelOnly="1" outline="0" axis="axisRow" fieldPosition="0"/>
    </format>
    <format dxfId="120">
      <pivotArea dataOnly="0" labelOnly="1" outline="0" axis="axisValues" fieldPosition="0"/>
    </format>
    <format dxfId="118">
      <pivotArea field="2" type="button" dataOnly="0" labelOnly="1" outline="0" axis="axisRow" fieldPosition="0"/>
    </format>
    <format dxfId="117">
      <pivotArea dataOnly="0" labelOnly="1" outline="0" axis="axisValues" fieldPosition="0"/>
    </format>
    <format dxfId="111">
      <pivotArea field="2" type="button" dataOnly="0" labelOnly="1" outline="0" axis="axisRow" fieldPosition="0"/>
    </format>
    <format dxfId="108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FDEB0F-BB3E-B346-B502-EE994A2AFF34}" name="pt_TotalFY_500670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5:B16" firstHeaderRow="1" firstDataRow="1" firstDataCol="1"/>
  <pivotFields count="4">
    <pivotField axis="axisRow" numFmtId="1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dataField="1" numFmtId="164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Amount" fld="3" baseField="0" baseItem="0" numFmtId="166"/>
  </dataFields>
  <formats count="74">
    <format dxfId="414">
      <pivotArea outline="0" collapsedLevelsAreSubtotals="1" fieldPosition="0"/>
    </format>
    <format dxfId="413">
      <pivotArea outline="0" collapsedLevelsAreSubtotals="1" fieldPosition="0"/>
    </format>
    <format dxfId="412">
      <pivotArea outline="0" collapsedLevelsAreSubtotals="1" fieldPosition="0"/>
    </format>
    <format dxfId="411">
      <pivotArea outline="0" collapsedLevelsAreSubtotals="1" fieldPosition="0"/>
    </format>
    <format dxfId="410">
      <pivotArea outline="0" collapsedLevelsAreSubtotals="1" fieldPosition="0"/>
    </format>
    <format dxfId="409">
      <pivotArea outline="0" collapsedLevelsAreSubtotals="1" fieldPosition="0"/>
    </format>
    <format dxfId="408">
      <pivotArea outline="0" collapsedLevelsAreSubtotals="1" fieldPosition="0"/>
    </format>
    <format dxfId="407">
      <pivotArea outline="0" collapsedLevelsAreSubtotals="1" fieldPosition="0"/>
    </format>
    <format dxfId="406">
      <pivotArea outline="0" collapsedLevelsAreSubtotals="1" fieldPosition="0"/>
    </format>
    <format dxfId="387">
      <pivotArea outline="0" collapsedLevelsAreSubtotals="1" fieldPosition="0"/>
    </format>
    <format dxfId="386">
      <pivotArea outline="0" collapsedLevelsAreSubtotals="1" fieldPosition="0"/>
    </format>
    <format dxfId="385">
      <pivotArea outline="0" collapsedLevelsAreSubtotals="1" fieldPosition="0"/>
    </format>
    <format dxfId="384">
      <pivotArea outline="0" collapsedLevelsAreSubtotals="1" fieldPosition="0"/>
    </format>
    <format dxfId="383">
      <pivotArea outline="0" collapsedLevelsAreSubtotals="1" fieldPosition="0"/>
    </format>
    <format dxfId="382">
      <pivotArea outline="0" collapsedLevelsAreSubtotals="1" fieldPosition="0"/>
    </format>
    <format dxfId="381">
      <pivotArea outline="0" collapsedLevelsAreSubtotals="1" fieldPosition="0"/>
    </format>
    <format dxfId="380">
      <pivotArea outline="0" collapsedLevelsAreSubtotals="1" fieldPosition="0"/>
    </format>
    <format dxfId="379">
      <pivotArea outline="0" collapsedLevelsAreSubtotals="1" fieldPosition="0"/>
    </format>
    <format dxfId="378">
      <pivotArea collapsedLevelsAreSubtotals="1" fieldPosition="0">
        <references count="1">
          <reference field="0" count="1">
            <x v="0"/>
          </reference>
        </references>
      </pivotArea>
    </format>
    <format dxfId="376">
      <pivotArea collapsedLevelsAreSubtotals="1" fieldPosition="0">
        <references count="1">
          <reference field="0" count="1">
            <x v="1"/>
          </reference>
        </references>
      </pivotArea>
    </format>
    <format dxfId="374">
      <pivotArea collapsedLevelsAreSubtotals="1" fieldPosition="0">
        <references count="1">
          <reference field="0" count="1">
            <x v="2"/>
          </reference>
        </references>
      </pivotArea>
    </format>
    <format dxfId="372">
      <pivotArea collapsedLevelsAreSubtotals="1" fieldPosition="0">
        <references count="1">
          <reference field="0" count="1">
            <x v="3"/>
          </reference>
        </references>
      </pivotArea>
    </format>
    <format dxfId="370">
      <pivotArea collapsedLevelsAreSubtotals="1" fieldPosition="0">
        <references count="1">
          <reference field="0" count="1">
            <x v="4"/>
          </reference>
        </references>
      </pivotArea>
    </format>
    <format dxfId="368">
      <pivotArea collapsedLevelsAreSubtotals="1" fieldPosition="0">
        <references count="1">
          <reference field="0" count="1">
            <x v="5"/>
          </reference>
        </references>
      </pivotArea>
    </format>
    <format dxfId="366">
      <pivotArea collapsedLevelsAreSubtotals="1" fieldPosition="0">
        <references count="1">
          <reference field="0" count="1">
            <x v="6"/>
          </reference>
        </references>
      </pivotArea>
    </format>
    <format dxfId="364">
      <pivotArea collapsedLevelsAreSubtotals="1" fieldPosition="0">
        <references count="1">
          <reference field="0" count="1">
            <x v="7"/>
          </reference>
        </references>
      </pivotArea>
    </format>
    <format dxfId="362">
      <pivotArea collapsedLevelsAreSubtotals="1" fieldPosition="0">
        <references count="1">
          <reference field="0" count="1">
            <x v="8"/>
          </reference>
        </references>
      </pivotArea>
    </format>
    <format dxfId="360">
      <pivotArea collapsedLevelsAreSubtotals="1" fieldPosition="0">
        <references count="1">
          <reference field="0" count="1">
            <x v="9"/>
          </reference>
        </references>
      </pivotArea>
    </format>
    <format dxfId="358">
      <pivotArea grandRow="1" outline="0" collapsedLevelsAreSubtotals="1" fieldPosition="0"/>
    </format>
    <format dxfId="211">
      <pivotArea outline="0" collapsedLevelsAreSubtotals="1" fieldPosition="0"/>
    </format>
    <format dxfId="184">
      <pivotArea field="0" type="button" dataOnly="0" labelOnly="1" outline="0" axis="axisRow" fieldPosition="0"/>
    </format>
    <format dxfId="183">
      <pivotArea dataOnly="0" labelOnly="1" outline="0" axis="axisValues" fieldPosition="0"/>
    </format>
    <format dxfId="181">
      <pivotArea field="0" type="button" dataOnly="0" labelOnly="1" outline="0" axis="axisRow" fieldPosition="0"/>
    </format>
    <format dxfId="180">
      <pivotArea dataOnly="0" labelOnly="1" outline="0" axis="axisValues" fieldPosition="0"/>
    </format>
    <format dxfId="178">
      <pivotArea field="0" type="button" dataOnly="0" labelOnly="1" outline="0" axis="axisRow" fieldPosition="0"/>
    </format>
    <format dxfId="177">
      <pivotArea dataOnly="0" labelOnly="1" outline="0" axis="axisValues" fieldPosition="0"/>
    </format>
    <format dxfId="175">
      <pivotArea field="0" type="button" dataOnly="0" labelOnly="1" outline="0" axis="axisRow" fieldPosition="0"/>
    </format>
    <format dxfId="174">
      <pivotArea dataOnly="0" labelOnly="1" outline="0" axis="axisValues" fieldPosition="0"/>
    </format>
    <format dxfId="172">
      <pivotArea field="0" type="button" dataOnly="0" labelOnly="1" outline="0" axis="axisRow" fieldPosition="0"/>
    </format>
    <format dxfId="171">
      <pivotArea dataOnly="0" labelOnly="1" outline="0" axis="axisValues" fieldPosition="0"/>
    </format>
    <format dxfId="169">
      <pivotArea field="0" type="button" dataOnly="0" labelOnly="1" outline="0" axis="axisRow" fieldPosition="0"/>
    </format>
    <format dxfId="168">
      <pivotArea dataOnly="0" labelOnly="1" outline="0" axis="axisValues" fieldPosition="0"/>
    </format>
    <format dxfId="166">
      <pivotArea field="0" type="button" dataOnly="0" labelOnly="1" outline="0" axis="axisRow" fieldPosition="0"/>
    </format>
    <format dxfId="165">
      <pivotArea dataOnly="0" labelOnly="1" outline="0" axis="axisValues" fieldPosition="0"/>
    </format>
    <format dxfId="163">
      <pivotArea field="0" type="button" dataOnly="0" labelOnly="1" outline="0" axis="axisRow" fieldPosition="0"/>
    </format>
    <format dxfId="162">
      <pivotArea dataOnly="0" labelOnly="1" outline="0" axis="axisValues" fieldPosition="0"/>
    </format>
    <format dxfId="160">
      <pivotArea field="0" type="button" dataOnly="0" labelOnly="1" outline="0" axis="axisRow" fieldPosition="0"/>
    </format>
    <format dxfId="159">
      <pivotArea dataOnly="0" labelOnly="1" outline="0" axis="axisValues" fieldPosition="0"/>
    </format>
    <format dxfId="157">
      <pivotArea field="0" type="button" dataOnly="0" labelOnly="1" outline="0" axis="axisRow" fieldPosition="0"/>
    </format>
    <format dxfId="156">
      <pivotArea dataOnly="0" labelOnly="1" outline="0" axis="axisValues" fieldPosition="0"/>
    </format>
    <format dxfId="150">
      <pivotArea field="0" type="button" dataOnly="0" labelOnly="1" outline="0" axis="axisRow" fieldPosition="0"/>
    </format>
    <format dxfId="147">
      <pivotArea dataOnly="0" labelOnly="1" outline="0" axis="axisValues" fieldPosition="0"/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grandRow="1" outline="0" collapsedLevelsAreSubtotals="1" fieldPosition="0"/>
    </format>
    <format dxfId="20">
      <pivotArea dataOnly="0" labelOnly="1" grandRow="1" outline="0" fieldPosition="0"/>
    </format>
    <format dxfId="19">
      <pivotArea grandRow="1" outline="0" collapsedLevelsAreSubtotals="1" fieldPosition="0"/>
    </format>
    <format dxfId="18">
      <pivotArea dataOnly="0" labelOnly="1" grandRow="1" outline="0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grandRow="1" outline="0" collapsedLevelsAreSubtotals="1" fieldPosition="0"/>
    </format>
    <format dxfId="14">
      <pivotArea dataOnly="0" labelOnly="1" grandRow="1" outline="0" fieldPosition="0"/>
    </format>
    <format dxfId="13">
      <pivotArea grandRow="1" outline="0" collapsedLevelsAreSubtotals="1" fieldPosition="0"/>
    </format>
    <format dxfId="12">
      <pivotArea dataOnly="0" labelOnly="1" grandRow="1" outline="0" fieldPosition="0"/>
    </format>
    <format dxfId="11">
      <pivotArea grandRow="1" outline="0" collapsedLevelsAreSubtotals="1" fieldPosition="0"/>
    </format>
    <format dxfId="10">
      <pivotArea dataOnly="0" labelOnly="1" grandRow="1" outline="0" fieldPosition="0"/>
    </format>
    <format dxfId="9">
      <pivotArea grandRow="1" outline="0" collapsedLevelsAreSubtotals="1" fieldPosition="0"/>
    </format>
    <format dxfId="8">
      <pivotArea dataOnly="0" labelOnly="1" grandRow="1" outline="0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3">
      <pivotArea grandRow="1" outline="0" collapsedLevelsAreSubtotals="1" fieldPosition="0"/>
    </format>
    <format dxfId="1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682B563-9C01-BF44-91F9-8D77318E61D5}" name="Cleaned_CUNY_Expenditures" displayName="Cleaned_CUNY_Expenditures" ref="A1:D31" totalsRowShown="0" headerRowDxfId="419">
  <autoFilter ref="A1:D31" xr:uid="{1682B563-9C01-BF44-91F9-8D77318E61D5}"/>
  <tableColumns count="4">
    <tableColumn id="1" xr3:uid="{E2BA87FF-064B-0D4E-99CE-2D9C82B9E84C}" name="Fiscal Year" dataDxfId="418"/>
    <tableColumn id="2" xr3:uid="{4101607F-1A03-134E-915A-C82A0CACD38F}" name="Actual/Forecast" dataDxfId="417"/>
    <tableColumn id="3" xr3:uid="{297B76C9-D2E0-8A48-BB7A-86BE38C891DA}" name="Source" dataDxfId="416"/>
    <tableColumn id="4" xr3:uid="{1CD29B16-6E74-7043-84F0-F5E54FA3862B}" name="Amount" dataDxfId="415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BF99320-A79C-C542-8DB5-D64E0DA0D5A0}">
  <we:reference id="WA200010215" version="2.0.0.0" store="Omex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D8D14-0561-8242-A4DE-618501BB029A}">
  <dimension ref="A1:D31"/>
  <sheetViews>
    <sheetView topLeftCell="B4" zoomScale="119" workbookViewId="0">
      <selection activeCell="H12" sqref="H12"/>
    </sheetView>
  </sheetViews>
  <sheetFormatPr baseColWidth="10" defaultRowHeight="13" x14ac:dyDescent="0.15"/>
  <cols>
    <col min="1" max="1" width="15.33203125" bestFit="1" customWidth="1"/>
    <col min="2" max="2" width="19.33203125" bestFit="1" customWidth="1"/>
    <col min="3" max="3" width="34" customWidth="1"/>
    <col min="4" max="4" width="12.5" bestFit="1" customWidth="1"/>
  </cols>
  <sheetData>
    <row r="1" spans="1:4" ht="14" x14ac:dyDescent="0.15">
      <c r="A1" s="1" t="s">
        <v>5</v>
      </c>
      <c r="B1" s="1" t="s">
        <v>6</v>
      </c>
      <c r="C1" s="1" t="s">
        <v>7</v>
      </c>
      <c r="D1" s="1" t="s">
        <v>8</v>
      </c>
    </row>
    <row r="2" spans="1:4" ht="14" x14ac:dyDescent="0.15">
      <c r="A2" s="3">
        <v>2016</v>
      </c>
      <c r="B2" s="2" t="s">
        <v>0</v>
      </c>
      <c r="C2" s="2" t="s">
        <v>1</v>
      </c>
      <c r="D2" s="4">
        <v>345.3</v>
      </c>
    </row>
    <row r="3" spans="1:4" ht="14" x14ac:dyDescent="0.15">
      <c r="A3" s="3">
        <v>2016</v>
      </c>
      <c r="B3" s="2" t="s">
        <v>0</v>
      </c>
      <c r="C3" s="2" t="s">
        <v>3</v>
      </c>
      <c r="D3" s="4">
        <v>236.1</v>
      </c>
    </row>
    <row r="4" spans="1:4" ht="14" x14ac:dyDescent="0.15">
      <c r="A4" s="3">
        <v>2016</v>
      </c>
      <c r="B4" s="2" t="s">
        <v>0</v>
      </c>
      <c r="C4" s="2" t="s">
        <v>2</v>
      </c>
      <c r="D4" s="4">
        <v>401.7</v>
      </c>
    </row>
    <row r="5" spans="1:4" ht="14" x14ac:dyDescent="0.15">
      <c r="A5" s="3">
        <v>2017</v>
      </c>
      <c r="B5" s="2" t="s">
        <v>0</v>
      </c>
      <c r="C5" s="2" t="s">
        <v>1</v>
      </c>
      <c r="D5" s="4">
        <v>425.7</v>
      </c>
    </row>
    <row r="6" spans="1:4" ht="14" x14ac:dyDescent="0.15">
      <c r="A6" s="3">
        <v>2017</v>
      </c>
      <c r="B6" s="2" t="s">
        <v>0</v>
      </c>
      <c r="C6" s="2" t="s">
        <v>3</v>
      </c>
      <c r="D6" s="4">
        <v>247.4</v>
      </c>
    </row>
    <row r="7" spans="1:4" ht="14" x14ac:dyDescent="0.15">
      <c r="A7" s="3">
        <v>2017</v>
      </c>
      <c r="B7" s="2" t="s">
        <v>0</v>
      </c>
      <c r="C7" s="2" t="s">
        <v>2</v>
      </c>
      <c r="D7" s="4">
        <v>404.8</v>
      </c>
    </row>
    <row r="8" spans="1:4" ht="14" x14ac:dyDescent="0.15">
      <c r="A8" s="3">
        <v>2018</v>
      </c>
      <c r="B8" s="2" t="s">
        <v>0</v>
      </c>
      <c r="C8" s="2" t="s">
        <v>1</v>
      </c>
      <c r="D8" s="4">
        <v>460</v>
      </c>
    </row>
    <row r="9" spans="1:4" ht="14" x14ac:dyDescent="0.15">
      <c r="A9" s="3">
        <v>2018</v>
      </c>
      <c r="B9" s="2" t="s">
        <v>0</v>
      </c>
      <c r="C9" s="2" t="s">
        <v>3</v>
      </c>
      <c r="D9" s="4">
        <v>253.1</v>
      </c>
    </row>
    <row r="10" spans="1:4" ht="14" x14ac:dyDescent="0.15">
      <c r="A10" s="3">
        <v>2018</v>
      </c>
      <c r="B10" s="2" t="s">
        <v>0</v>
      </c>
      <c r="C10" s="2" t="s">
        <v>2</v>
      </c>
      <c r="D10" s="4">
        <v>387.2</v>
      </c>
    </row>
    <row r="11" spans="1:4" ht="14" x14ac:dyDescent="0.15">
      <c r="A11" s="3">
        <v>2019</v>
      </c>
      <c r="B11" s="2" t="s">
        <v>0</v>
      </c>
      <c r="C11" s="2" t="s">
        <v>1</v>
      </c>
      <c r="D11" s="4">
        <v>487.8</v>
      </c>
    </row>
    <row r="12" spans="1:4" ht="14" x14ac:dyDescent="0.15">
      <c r="A12" s="3">
        <v>2019</v>
      </c>
      <c r="B12" s="2" t="s">
        <v>0</v>
      </c>
      <c r="C12" s="2" t="s">
        <v>3</v>
      </c>
      <c r="D12" s="4">
        <v>261.60000000000002</v>
      </c>
    </row>
    <row r="13" spans="1:4" ht="14" x14ac:dyDescent="0.15">
      <c r="A13" s="3">
        <v>2019</v>
      </c>
      <c r="B13" s="2" t="s">
        <v>0</v>
      </c>
      <c r="C13" s="2" t="s">
        <v>2</v>
      </c>
      <c r="D13" s="4">
        <v>379</v>
      </c>
    </row>
    <row r="14" spans="1:4" ht="14" x14ac:dyDescent="0.15">
      <c r="A14" s="3">
        <v>2020</v>
      </c>
      <c r="B14" s="2" t="s">
        <v>0</v>
      </c>
      <c r="C14" s="2" t="s">
        <v>1</v>
      </c>
      <c r="D14" s="4">
        <v>513.6</v>
      </c>
    </row>
    <row r="15" spans="1:4" ht="14" x14ac:dyDescent="0.15">
      <c r="A15" s="3">
        <v>2020</v>
      </c>
      <c r="B15" s="2" t="s">
        <v>0</v>
      </c>
      <c r="C15" s="2" t="s">
        <v>3</v>
      </c>
      <c r="D15" s="4">
        <v>244.7</v>
      </c>
    </row>
    <row r="16" spans="1:4" ht="14" x14ac:dyDescent="0.15">
      <c r="A16" s="3">
        <v>2020</v>
      </c>
      <c r="B16" s="2" t="s">
        <v>0</v>
      </c>
      <c r="C16" s="2" t="s">
        <v>2</v>
      </c>
      <c r="D16" s="4">
        <v>365.5</v>
      </c>
    </row>
    <row r="17" spans="1:4" ht="14" x14ac:dyDescent="0.15">
      <c r="A17" s="3">
        <v>2021</v>
      </c>
      <c r="B17" s="2" t="s">
        <v>0</v>
      </c>
      <c r="C17" s="2" t="s">
        <v>1</v>
      </c>
      <c r="D17" s="4">
        <v>509</v>
      </c>
    </row>
    <row r="18" spans="1:4" ht="14" x14ac:dyDescent="0.15">
      <c r="A18" s="3">
        <v>2021</v>
      </c>
      <c r="B18" s="2" t="s">
        <v>0</v>
      </c>
      <c r="C18" s="2" t="s">
        <v>4</v>
      </c>
      <c r="D18" s="4">
        <v>260.5</v>
      </c>
    </row>
    <row r="19" spans="1:4" ht="14" x14ac:dyDescent="0.15">
      <c r="A19" s="3">
        <v>2021</v>
      </c>
      <c r="B19" s="2" t="s">
        <v>0</v>
      </c>
      <c r="C19" s="2" t="s">
        <v>2</v>
      </c>
      <c r="D19" s="4">
        <v>304.10000000000002</v>
      </c>
    </row>
    <row r="20" spans="1:4" ht="14" x14ac:dyDescent="0.15">
      <c r="A20" s="3">
        <v>2022</v>
      </c>
      <c r="B20" s="2" t="s">
        <v>0</v>
      </c>
      <c r="C20" s="2" t="s">
        <v>1</v>
      </c>
      <c r="D20" s="4">
        <v>537</v>
      </c>
    </row>
    <row r="21" spans="1:4" ht="14" x14ac:dyDescent="0.15">
      <c r="A21" s="3">
        <v>2022</v>
      </c>
      <c r="B21" s="2" t="s">
        <v>0</v>
      </c>
      <c r="C21" s="2" t="s">
        <v>4</v>
      </c>
      <c r="D21" s="4">
        <v>347.6</v>
      </c>
    </row>
    <row r="22" spans="1:4" ht="14" x14ac:dyDescent="0.15">
      <c r="A22" s="3">
        <v>2022</v>
      </c>
      <c r="B22" s="2" t="s">
        <v>0</v>
      </c>
      <c r="C22" s="2" t="s">
        <v>2</v>
      </c>
      <c r="D22" s="4">
        <v>237.4</v>
      </c>
    </row>
    <row r="23" spans="1:4" ht="14" x14ac:dyDescent="0.15">
      <c r="A23" s="3">
        <v>2023</v>
      </c>
      <c r="B23" s="2" t="s">
        <v>0</v>
      </c>
      <c r="C23" s="2" t="s">
        <v>1</v>
      </c>
      <c r="D23" s="4">
        <v>609.79999999999995</v>
      </c>
    </row>
    <row r="24" spans="1:4" ht="14" x14ac:dyDescent="0.15">
      <c r="A24" s="3">
        <v>2023</v>
      </c>
      <c r="B24" s="2" t="s">
        <v>0</v>
      </c>
      <c r="C24" s="2" t="s">
        <v>4</v>
      </c>
      <c r="D24" s="4">
        <v>320.7</v>
      </c>
    </row>
    <row r="25" spans="1:4" ht="14" x14ac:dyDescent="0.15">
      <c r="A25" s="3">
        <v>2023</v>
      </c>
      <c r="B25" s="2" t="s">
        <v>0</v>
      </c>
      <c r="C25" s="2" t="s">
        <v>2</v>
      </c>
      <c r="D25" s="4">
        <v>210.3</v>
      </c>
    </row>
    <row r="26" spans="1:4" ht="14" x14ac:dyDescent="0.15">
      <c r="A26" s="3">
        <v>2024</v>
      </c>
      <c r="B26" s="2" t="s">
        <v>0</v>
      </c>
      <c r="C26" s="2" t="s">
        <v>1</v>
      </c>
      <c r="D26" s="4">
        <v>566.4</v>
      </c>
    </row>
    <row r="27" spans="1:4" ht="14" x14ac:dyDescent="0.15">
      <c r="A27" s="3">
        <v>2024</v>
      </c>
      <c r="B27" s="2" t="s">
        <v>0</v>
      </c>
      <c r="C27" s="2" t="s">
        <v>4</v>
      </c>
      <c r="D27" s="4">
        <v>368.8</v>
      </c>
    </row>
    <row r="28" spans="1:4" ht="14" x14ac:dyDescent="0.15">
      <c r="A28" s="3">
        <v>2024</v>
      </c>
      <c r="B28" s="2" t="s">
        <v>0</v>
      </c>
      <c r="C28" s="2" t="s">
        <v>2</v>
      </c>
      <c r="D28" s="4">
        <v>214.7</v>
      </c>
    </row>
    <row r="29" spans="1:4" ht="14" x14ac:dyDescent="0.15">
      <c r="A29" s="3">
        <v>2025</v>
      </c>
      <c r="B29" s="2" t="s">
        <v>0</v>
      </c>
      <c r="C29" s="2" t="s">
        <v>1</v>
      </c>
      <c r="D29" s="4">
        <v>719.9</v>
      </c>
    </row>
    <row r="30" spans="1:4" ht="14" x14ac:dyDescent="0.15">
      <c r="A30" s="3">
        <v>2025</v>
      </c>
      <c r="B30" s="2" t="s">
        <v>0</v>
      </c>
      <c r="C30" s="2" t="s">
        <v>4</v>
      </c>
      <c r="D30" s="4">
        <v>269.8</v>
      </c>
    </row>
    <row r="31" spans="1:4" ht="14" x14ac:dyDescent="0.15">
      <c r="A31" s="3">
        <v>2025</v>
      </c>
      <c r="B31" s="2" t="s">
        <v>0</v>
      </c>
      <c r="C31" s="2" t="s">
        <v>2</v>
      </c>
      <c r="D31" s="4">
        <v>287.7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CAE83-45A1-B540-AAC6-DEAFA6AE6A88}">
  <sheetPr>
    <tabColor rgb="FF1D2330"/>
  </sheetPr>
  <dimension ref="A1:N35"/>
  <sheetViews>
    <sheetView showGridLines="0" showRowColHeaders="0" tabSelected="1" zoomScale="75" workbookViewId="0">
      <selection sqref="A1:N1"/>
    </sheetView>
  </sheetViews>
  <sheetFormatPr baseColWidth="10" defaultRowHeight="13" x14ac:dyDescent="0.15"/>
  <cols>
    <col min="1" max="2" width="15.83203125" customWidth="1"/>
    <col min="3" max="3" width="20.83203125" customWidth="1"/>
    <col min="4" max="4" width="25.83203125" customWidth="1"/>
    <col min="5" max="6" width="15.83203125" customWidth="1"/>
    <col min="7" max="14" width="13.6640625" customWidth="1"/>
  </cols>
  <sheetData>
    <row r="1" spans="1:14" ht="28" customHeight="1" thickBot="1" x14ac:dyDescent="0.2">
      <c r="A1" s="16" t="s">
        <v>9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</row>
    <row r="2" spans="1:14" ht="18" customHeight="1" thickTop="1" x14ac:dyDescent="0.15">
      <c r="A2" s="19" t="s">
        <v>10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spans="1:14" ht="18" customHeight="1" x14ac:dyDescent="0.15">
      <c r="A3" s="9" t="s">
        <v>11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24" customHeight="1" x14ac:dyDescent="0.15">
      <c r="A4" s="20" t="s">
        <v>12</v>
      </c>
      <c r="B4" s="20"/>
      <c r="D4" s="20" t="s">
        <v>13</v>
      </c>
      <c r="E4" s="20"/>
    </row>
    <row r="5" spans="1:14" ht="15" x14ac:dyDescent="0.15">
      <c r="A5" s="23" t="s">
        <v>14</v>
      </c>
      <c r="B5" s="24" t="s">
        <v>16</v>
      </c>
      <c r="D5" s="23" t="s">
        <v>14</v>
      </c>
      <c r="E5" s="24" t="s">
        <v>16</v>
      </c>
    </row>
    <row r="6" spans="1:14" ht="14" x14ac:dyDescent="0.15">
      <c r="A6" s="21">
        <v>2016</v>
      </c>
      <c r="B6" s="22">
        <v>983.09999999999991</v>
      </c>
      <c r="D6" s="25" t="s">
        <v>1</v>
      </c>
      <c r="E6" s="22">
        <v>5174.4999999999991</v>
      </c>
    </row>
    <row r="7" spans="1:14" ht="14" x14ac:dyDescent="0.15">
      <c r="A7" s="5">
        <v>2017</v>
      </c>
      <c r="B7" s="10">
        <v>1077.9000000000001</v>
      </c>
      <c r="D7" s="7" t="s">
        <v>4</v>
      </c>
      <c r="E7" s="10">
        <v>1567.3999999999999</v>
      </c>
    </row>
    <row r="8" spans="1:14" ht="14" x14ac:dyDescent="0.15">
      <c r="A8" s="5">
        <v>2018</v>
      </c>
      <c r="B8" s="10">
        <v>1100.3</v>
      </c>
      <c r="D8" s="7" t="s">
        <v>3</v>
      </c>
      <c r="E8" s="10">
        <v>1242.9000000000001</v>
      </c>
    </row>
    <row r="9" spans="1:14" ht="14" x14ac:dyDescent="0.15">
      <c r="A9" s="5">
        <v>2019</v>
      </c>
      <c r="B9" s="10">
        <v>1128.4000000000001</v>
      </c>
      <c r="D9" s="7" t="s">
        <v>2</v>
      </c>
      <c r="E9" s="10">
        <v>3192.4</v>
      </c>
    </row>
    <row r="10" spans="1:14" ht="14" x14ac:dyDescent="0.15">
      <c r="A10" s="5">
        <v>2020</v>
      </c>
      <c r="B10" s="10">
        <v>1123.8</v>
      </c>
      <c r="D10" s="8" t="s">
        <v>15</v>
      </c>
      <c r="E10" s="11">
        <v>11177.199999999999</v>
      </c>
    </row>
    <row r="11" spans="1:14" ht="14" x14ac:dyDescent="0.15">
      <c r="A11" s="5">
        <v>2021</v>
      </c>
      <c r="B11" s="10">
        <v>1073.5999999999999</v>
      </c>
    </row>
    <row r="12" spans="1:14" ht="14" x14ac:dyDescent="0.15">
      <c r="A12" s="5">
        <v>2022</v>
      </c>
      <c r="B12" s="10">
        <v>1122</v>
      </c>
    </row>
    <row r="13" spans="1:14" ht="14" x14ac:dyDescent="0.15">
      <c r="A13" s="5">
        <v>2023</v>
      </c>
      <c r="B13" s="10">
        <v>1140.8</v>
      </c>
    </row>
    <row r="14" spans="1:14" ht="14" x14ac:dyDescent="0.15">
      <c r="A14" s="5">
        <v>2024</v>
      </c>
      <c r="B14" s="10">
        <v>1149.9000000000001</v>
      </c>
    </row>
    <row r="15" spans="1:14" ht="15" thickBot="1" x14ac:dyDescent="0.2">
      <c r="A15" s="5">
        <v>2025</v>
      </c>
      <c r="B15" s="10">
        <v>1277.4000000000001</v>
      </c>
    </row>
    <row r="16" spans="1:14" ht="16" thickTop="1" x14ac:dyDescent="0.15">
      <c r="A16" s="36" t="s">
        <v>15</v>
      </c>
      <c r="B16" s="37">
        <v>11177.199999999999</v>
      </c>
    </row>
    <row r="22" spans="1:6" ht="24" customHeight="1" x14ac:dyDescent="0.15">
      <c r="A22" s="20"/>
      <c r="B22" s="20"/>
      <c r="C22" s="20"/>
      <c r="D22" s="20"/>
      <c r="E22" s="20"/>
      <c r="F22" s="29"/>
    </row>
    <row r="23" spans="1:6" ht="15" x14ac:dyDescent="0.15">
      <c r="A23" s="26" t="s">
        <v>16</v>
      </c>
      <c r="B23" s="26" t="s">
        <v>17</v>
      </c>
      <c r="C23" s="27"/>
      <c r="D23" s="27"/>
      <c r="E23" s="27"/>
      <c r="F23" s="28"/>
    </row>
    <row r="24" spans="1:6" ht="15" x14ac:dyDescent="0.15">
      <c r="A24" s="33" t="s">
        <v>14</v>
      </c>
      <c r="B24" s="33" t="s">
        <v>1</v>
      </c>
      <c r="C24" s="34" t="s">
        <v>4</v>
      </c>
      <c r="D24" s="34" t="s">
        <v>3</v>
      </c>
      <c r="E24" s="34" t="s">
        <v>2</v>
      </c>
      <c r="F24" s="35" t="s">
        <v>15</v>
      </c>
    </row>
    <row r="25" spans="1:6" ht="14" x14ac:dyDescent="0.15">
      <c r="A25" s="21">
        <v>2016</v>
      </c>
      <c r="B25" s="30">
        <v>345.3</v>
      </c>
      <c r="C25" s="31"/>
      <c r="D25" s="31">
        <v>236.1</v>
      </c>
      <c r="E25" s="31">
        <v>401.7</v>
      </c>
      <c r="F25" s="32">
        <v>983.09999999999991</v>
      </c>
    </row>
    <row r="26" spans="1:6" ht="14" x14ac:dyDescent="0.15">
      <c r="A26" s="5">
        <v>2017</v>
      </c>
      <c r="B26" s="12">
        <v>425.7</v>
      </c>
      <c r="C26" s="13"/>
      <c r="D26" s="13">
        <v>247.4</v>
      </c>
      <c r="E26" s="13">
        <v>404.8</v>
      </c>
      <c r="F26" s="17">
        <v>1077.9000000000001</v>
      </c>
    </row>
    <row r="27" spans="1:6" ht="14" x14ac:dyDescent="0.15">
      <c r="A27" s="5">
        <v>2018</v>
      </c>
      <c r="B27" s="12">
        <v>460</v>
      </c>
      <c r="C27" s="13"/>
      <c r="D27" s="13">
        <v>253.1</v>
      </c>
      <c r="E27" s="13">
        <v>387.2</v>
      </c>
      <c r="F27" s="17">
        <v>1100.3</v>
      </c>
    </row>
    <row r="28" spans="1:6" ht="14" x14ac:dyDescent="0.15">
      <c r="A28" s="5">
        <v>2019</v>
      </c>
      <c r="B28" s="12">
        <v>487.8</v>
      </c>
      <c r="C28" s="13"/>
      <c r="D28" s="13">
        <v>261.60000000000002</v>
      </c>
      <c r="E28" s="13">
        <v>379</v>
      </c>
      <c r="F28" s="17">
        <v>1128.4000000000001</v>
      </c>
    </row>
    <row r="29" spans="1:6" ht="14" x14ac:dyDescent="0.15">
      <c r="A29" s="5">
        <v>2020</v>
      </c>
      <c r="B29" s="12">
        <v>513.6</v>
      </c>
      <c r="C29" s="13"/>
      <c r="D29" s="13">
        <v>244.7</v>
      </c>
      <c r="E29" s="13">
        <v>365.5</v>
      </c>
      <c r="F29" s="17">
        <v>1123.8</v>
      </c>
    </row>
    <row r="30" spans="1:6" ht="14" x14ac:dyDescent="0.15">
      <c r="A30" s="5">
        <v>2021</v>
      </c>
      <c r="B30" s="12">
        <v>509</v>
      </c>
      <c r="C30" s="13">
        <v>260.5</v>
      </c>
      <c r="D30" s="13"/>
      <c r="E30" s="13">
        <v>304.10000000000002</v>
      </c>
      <c r="F30" s="17">
        <v>1073.5999999999999</v>
      </c>
    </row>
    <row r="31" spans="1:6" ht="14" x14ac:dyDescent="0.15">
      <c r="A31" s="5">
        <v>2022</v>
      </c>
      <c r="B31" s="12">
        <v>537</v>
      </c>
      <c r="C31" s="13">
        <v>347.6</v>
      </c>
      <c r="D31" s="13"/>
      <c r="E31" s="13">
        <v>237.4</v>
      </c>
      <c r="F31" s="17">
        <v>1122</v>
      </c>
    </row>
    <row r="32" spans="1:6" ht="14" x14ac:dyDescent="0.15">
      <c r="A32" s="5">
        <v>2023</v>
      </c>
      <c r="B32" s="12">
        <v>609.79999999999995</v>
      </c>
      <c r="C32" s="13">
        <v>320.7</v>
      </c>
      <c r="D32" s="13"/>
      <c r="E32" s="13">
        <v>210.3</v>
      </c>
      <c r="F32" s="17">
        <v>1140.8</v>
      </c>
    </row>
    <row r="33" spans="1:6" ht="14" x14ac:dyDescent="0.15">
      <c r="A33" s="5">
        <v>2024</v>
      </c>
      <c r="B33" s="12">
        <v>566.4</v>
      </c>
      <c r="C33" s="13">
        <v>368.8</v>
      </c>
      <c r="D33" s="13"/>
      <c r="E33" s="13">
        <v>214.7</v>
      </c>
      <c r="F33" s="17">
        <v>1149.9000000000001</v>
      </c>
    </row>
    <row r="34" spans="1:6" ht="14" x14ac:dyDescent="0.15">
      <c r="A34" s="5">
        <v>2025</v>
      </c>
      <c r="B34" s="12">
        <v>719.9</v>
      </c>
      <c r="C34" s="13">
        <v>269.8</v>
      </c>
      <c r="D34" s="13"/>
      <c r="E34" s="13">
        <v>287.7</v>
      </c>
      <c r="F34" s="17">
        <v>1277.4000000000001</v>
      </c>
    </row>
    <row r="35" spans="1:6" ht="14" x14ac:dyDescent="0.15">
      <c r="A35" s="6" t="s">
        <v>15</v>
      </c>
      <c r="B35" s="14">
        <v>5174.4999999999991</v>
      </c>
      <c r="C35" s="15">
        <v>1567.3999999999999</v>
      </c>
      <c r="D35" s="15">
        <v>1242.9000000000001</v>
      </c>
      <c r="E35" s="15">
        <v>3192.4</v>
      </c>
      <c r="F35" s="18">
        <v>11177.199999999999</v>
      </c>
    </row>
  </sheetData>
  <mergeCells count="6">
    <mergeCell ref="A1:N1"/>
    <mergeCell ref="A2:N2"/>
    <mergeCell ref="A3:N3"/>
    <mergeCell ref="A4:B4"/>
    <mergeCell ref="D4:E4"/>
    <mergeCell ref="A22:E22"/>
  </mergeCells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DIVYA.LACHMAN</cp:lastModifiedBy>
  <dcterms:created xsi:type="dcterms:W3CDTF">2026-06-23T23:09:25Z</dcterms:created>
  <dcterms:modified xsi:type="dcterms:W3CDTF">2026-06-23T23:22:43Z</dcterms:modified>
</cp:coreProperties>
</file>